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9cb781b2e44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349795f6134cb9"/>
    <x:sheet xmlns:r="http://schemas.openxmlformats.org/officeDocument/2006/relationships" name="Review" sheetId="2" r:id="R1f9370a0fc084020"/>
    <x:sheet xmlns:r="http://schemas.openxmlformats.org/officeDocument/2006/relationships" name="Evidence" sheetId="3" r:id="R9dbf7b115bd54b15"/>
    <x:sheet xmlns:r="http://schemas.openxmlformats.org/officeDocument/2006/relationships" name="README" sheetId="4" r:id="R30a8b18cccee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5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i/>
        <x:color rgb="FF666666"/>
      </x:font>
      <x:fill>
        <x:patternFill patternType="solid">
          <x:bgColor rgb="FFF2F4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4f2beedf2a4d80" /><Relationship Type="http://schemas.openxmlformats.org/officeDocument/2006/relationships/theme" Target="/xl/theme/theme1.xml" Id="Rdb6480490a924236" /><Relationship Type="http://schemas.microsoft.com/office/2022/11/relationships/FeaturePropertyBag" Target="/xl/featurePropertyBag/featurePropertyBag.xml" Id="Re36684ceaf4e4181" /><Relationship Type="http://schemas.openxmlformats.org/officeDocument/2006/relationships/sharedStrings" Target="/xl/sharedStrings.xml" Id="R22465add74fd49e4" /><Relationship Type="http://schemas.openxmlformats.org/officeDocument/2006/relationships/worksheet" Target="/xl/worksheets/sheet1.xml" Id="R9e349795f6134cb9" /><Relationship Type="http://schemas.openxmlformats.org/officeDocument/2006/relationships/worksheet" Target="/xl/worksheets/sheet2.xml" Id="R1f9370a0fc084020" /><Relationship Type="http://schemas.openxmlformats.org/officeDocument/2006/relationships/worksheet" Target="/xl/worksheets/sheet3.xml" Id="R9dbf7b115bd54b15" /><Relationship Type="http://schemas.openxmlformats.org/officeDocument/2006/relationships/worksheet" Target="/xl/worksheets/sheet4.xml" Id="R30a8b18cccee4e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viewCandidatesTable" displayName="ReviewCandidatesTable" ref="A1:R65" headerRowCount="1" totalsRowCount="0" totalsRowShown="0">
  <x:tableColumns count="18">
    <x:tableColumn id="1" name="Slot"/>
    <x:tableColumn id="2" name="Source"/>
    <x:tableColumn id="3" name="Primary dimension"/>
    <x:tableColumn id="4" name="Question"/>
    <x:tableColumn id="5" name="Expected mode"/>
    <x:tableColumn id="6" name="Time scope"/>
    <x:tableColumn id="7" name="As of"/>
    <x:tableColumn id="8" name="Req count"/>
    <x:tableColumn id="9" name="Requirements summary"/>
    <x:tableColumn id="10" name="Primary document"/>
    <x:tableColumn id="11" name="Source URL"/>
    <x:tableColumn id="12" name="Author status"/>
    <x:tableColumn id="13" name="Review status"/>
    <x:tableColumn id="14" name="Reviewer ID"/>
    <x:tableColumn id="15" name="Reviewed at"/>
    <x:tableColumn id="16" name="Review rationale"/>
    <x:tableColumn id="17" name="Execution allowed"/>
    <x:tableColumn id="18" name="Parent overlap exce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UnitsTable" displayName="EvidenceUnitsTable" ref="A1:O99" headerRowCount="1" totalsRowCount="0" totalsRowShown="0">
  <x:tableColumns count="15">
    <x:tableColumn id="1" name="Slot"/>
    <x:tableColumn id="2" name="Requirement ID"/>
    <x:tableColumn id="3" name="Expected status"/>
    <x:tableColumn id="4" name="Subject"/>
    <x:tableColumn id="5" name="Relation"/>
    <x:tableColumn id="6" name="Value type"/>
    <x:tableColumn id="7" name="Required values"/>
    <x:tableColumn id="8" name="Evidence #"/>
    <x:tableColumn id="9" name="Exact evidence text"/>
    <x:tableColumn id="10" name="Document title"/>
    <x:tableColumn id="11" name="Document ID"/>
    <x:tableColumn id="12" name="Chunk ID"/>
    <x:tableColumn id="13" name="Start"/>
    <x:tableColumn id="14" name="End"/>
    <x:tableColumn id="1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e765ffcda243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a9654140444a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Typed evidence-ref 일반화 후보 64문항 — 검수 현황</x:v>
      </x:c>
      <x:c r="B1" s="3" t="str">
        <x:v>Typed evidence-ref 일반화 후보 64문항 — 검수 현황</x:v>
      </x:c>
      <x:c r="C1" s="3" t="str">
        <x:v>Typed evidence-ref 일반화 후보 64문항 — 검수 현황</x:v>
      </x:c>
      <x:c r="D1" s="3" t="str">
        <x:v>Typed evidence-ref 일반화 후보 64문항 — 검수 현황</x:v>
      </x:c>
      <x:c r="E1" s="3" t="str">
        <x:v>Typed evidence-ref 일반화 후보 64문항 — 검수 현황</x:v>
      </x:c>
      <x:c r="F1" s="3" t="str">
        <x:v>Typed evidence-ref 일반화 후보 64문항 — 검수 현황</x:v>
      </x:c>
    </x:row>
    <x:row r="3" ht="28" customHeight="1">
      <x:c r="A3" s="8" t="str">
        <x:v>지표</x:v>
      </x:c>
      <x:c r="B3" s="8" t="str">
        <x:v>값</x:v>
      </x:c>
    </x:row>
    <x:row r="4">
      <x:c r="A4" s="11" t="str">
        <x:v>전체 문항</x:v>
      </x:c>
      <x:c r="B4" s="11" t="n">
        <x:f>COUNTA(Review!A2:A65)</x:f>
        <x:v>64</x:v>
      </x:c>
    </x:row>
    <x:row r="5">
      <x:c r="A5" s="11" t="str">
        <x:v>pending review</x:v>
      </x:c>
      <x:c r="B5" s="11" t="n">
        <x:f>COUNTIF(Review!M2:M65,"pending")</x:f>
        <x:v>64</x:v>
      </x:c>
    </x:row>
    <x:row r="6">
      <x:c r="A6" s="11" t="str">
        <x:v>execution allowed</x:v>
      </x:c>
      <x:c r="B6" s="11" t="n">
        <x:f>COUNTIF(Review!Q2:Q65,TRUE)</x:f>
        <x:v>0</x:v>
      </x:c>
    </x:row>
    <x:row r="7">
      <x:c r="A7" s="11" t="str">
        <x:v>정확 근거 단위</x:v>
      </x:c>
      <x:c r="B7" s="11" t="n">
        <x:v>90</x:v>
      </x:c>
    </x:row>
    <x:row r="8">
      <x:c r="A8" s="11" t="str">
        <x:v>과거 질문 exact overlap</x:v>
      </x:c>
      <x:c r="B8" s="11" t="n">
        <x:v>0</x:v>
      </x:c>
    </x:row>
    <x:row r="9">
      <x:c r="A9" s="11" t="str">
        <x:v>미등록 parent overlap</x:v>
      </x:c>
      <x:c r="B9" s="11" t="n">
        <x:v>0</x:v>
      </x:c>
    </x:row>
    <x:row r="10">
      <x:c r="A10" s="11" t="str">
        <x:v>자동 검증</x:v>
      </x:c>
      <x:c r="B10" s="11" t="str">
        <x:v>PASS</x:v>
      </x:c>
    </x:row>
    <x:row r="12" ht="28" customHeight="1">
      <x:c r="A12" s="8" t="str">
        <x:v>출처</x:v>
      </x:c>
      <x:c r="B12" s="8" t="str">
        <x:v>문항 수</x:v>
      </x:c>
      <x:c r="D12" s="8" t="str">
        <x:v>1차 차원</x:v>
      </x:c>
      <x:c r="E12" s="8" t="str">
        <x:v>문항 수</x:v>
      </x:c>
    </x:row>
    <x:row r="13">
      <x:c r="A13" s="11" t="str">
        <x:v>dnf_notice</x:v>
      </x:c>
      <x:c r="B13" s="11" t="n">
        <x:f>COUNTIF(Review!B$2:B$65,A13)</x:f>
        <x:v>8</x:v>
      </x:c>
      <x:c r="D13" s="11" t="str">
        <x:v>temporal_role</x:v>
      </x:c>
      <x:c r="E13" s="11" t="n">
        <x:f>COUNTIF(Review!C$2:C$65,D13)</x:f>
        <x:v>8</x:v>
      </x:c>
    </x:row>
    <x:row r="14">
      <x:c r="A14" s="11" t="str">
        <x:v>dnf_update</x:v>
      </x:c>
      <x:c r="B14" s="11" t="n">
        <x:f>COUNTIF(Review!B$2:B$65,A14)</x:f>
        <x:v>8</x:v>
      </x:c>
      <x:c r="D14" s="11" t="str">
        <x:v>boolean_direction</x:v>
      </x:c>
      <x:c r="E14" s="11" t="n">
        <x:f>COUNTIF(Review!C$2:C$65,D14)</x:f>
        <x:v>8</x:v>
      </x:c>
    </x:row>
    <x:row r="15">
      <x:c r="A15" s="11" t="str">
        <x:v>dnf_event</x:v>
      </x:c>
      <x:c r="B15" s="11" t="n">
        <x:f>COUNTIF(Review!B$2:B$65,A15)</x:f>
        <x:v>8</x:v>
      </x:c>
      <x:c r="D15" s="11" t="str">
        <x:v>sibling_relation</x:v>
      </x:c>
      <x:c r="E15" s="11" t="n">
        <x:f>COUNTIF(Review!C$2:C$65,D15)</x:f>
        <x:v>8</x:v>
      </x:c>
    </x:row>
    <x:row r="16">
      <x:c r="A16" s="11" t="str">
        <x:v>dnf_game_guide</x:v>
      </x:c>
      <x:c r="B16" s="11" t="n">
        <x:f>COUNTIF(Review!B$2:B$65,A16)</x:f>
        <x:v>8</x:v>
      </x:c>
      <x:c r="D16" s="11" t="str">
        <x:v>multi_requirement</x:v>
      </x:c>
      <x:c r="E16" s="11" t="n">
        <x:f>COUNTIF(Review!C$2:C$65,D16)</x:f>
        <x:v>8</x:v>
      </x:c>
    </x:row>
    <x:row r="17">
      <x:c r="A17" s="11" t="str">
        <x:v>dnf_faq</x:v>
      </x:c>
      <x:c r="B17" s="11" t="n">
        <x:f>COUNTIF(Review!B$2:B$65,A17)</x:f>
        <x:v>8</x:v>
      </x:c>
      <x:c r="D17" s="11" t="str">
        <x:v>table_attribute</x:v>
      </x:c>
      <x:c r="E17" s="11" t="n">
        <x:f>COUNTIF(Review!C$2:C$65,D17)</x:f>
        <x:v>8</x:v>
      </x:c>
    </x:row>
    <x:row r="18">
      <x:c r="A18" s="11" t="str">
        <x:v>dnf_account_policy</x:v>
      </x:c>
      <x:c r="B18" s="11" t="n">
        <x:f>COUNTIF(Review!B$2:B$65,A18)</x:f>
        <x:v>8</x:v>
      </x:c>
      <x:c r="D18" s="11" t="str">
        <x:v>revision_selection</x:v>
      </x:c>
      <x:c r="E18" s="11" t="n">
        <x:f>COUNTIF(Review!C$2:C$65,D18)</x:f>
        <x:v>8</x:v>
      </x:c>
    </x:row>
    <x:row r="19">
      <x:c r="A19" s="11" t="str">
        <x:v>dnf_seria_shop</x:v>
      </x:c>
      <x:c r="B19" s="11" t="n">
        <x:f>COUNTIF(Review!B$2:B$65,A19)</x:f>
        <x:v>8</x:v>
      </x:c>
      <x:c r="D19" s="11" t="str">
        <x:v>unsupported_or_partial</x:v>
      </x:c>
      <x:c r="E19" s="11" t="n">
        <x:f>COUNTIF(Review!C$2:C$65,D19)</x:f>
        <x:v>8</x:v>
      </x:c>
    </x:row>
    <x:row r="20">
      <x:c r="A20" s="11" t="str">
        <x:v>dnf_monthly_item</x:v>
      </x:c>
      <x:c r="B20" s="11" t="n">
        <x:f>COUNTIF(Review!B$2:B$65,A20)</x:f>
        <x:v>8</x:v>
      </x:c>
      <x:c r="D20" s="11" t="str">
        <x:v>direct_fact</x:v>
      </x:c>
      <x:c r="E20" s="11" t="n">
        <x:f>COUNTIF(Review!C$2:C$65,D20)</x:f>
        <x:v>8</x:v>
      </x:c>
    </x:row>
    <x:row r="22">
      <x:c r="A22" s="16" t="str">
        <x:v>잠금 상태</x:v>
      </x:c>
      <x:c r="B22" s="11" t="str">
        <x:v>64개 모두 pending_human_review</x:v>
      </x:c>
      <x:c r="C22" s="11"/>
      <x:c r="D22" s="11"/>
      <x:c r="E22" s="11"/>
      <x:c r="F22" s="11"/>
    </x:row>
    <x:row r="23">
      <x:c r="A23" s="16" t="str">
        <x:v>평가 실행</x:v>
      </x:c>
      <x:c r="B23" s="11" t="str">
        <x:v>실행하지 않음</x:v>
      </x:c>
      <x:c r="C23" s="11"/>
      <x:c r="D23" s="11"/>
      <x:c r="E23" s="11"/>
      <x:c r="F23" s="11"/>
    </x:row>
    <x:row r="24">
      <x:c r="A24" s="16" t="str">
        <x:v>승격 조건</x:v>
      </x:c>
      <x:c r="B24" s="11" t="str">
        <x:v>사람 검수 완료 후 freeze SHA 생성</x:v>
      </x:c>
      <x:c r="C24" s="11"/>
      <x:c r="D24" s="11"/>
      <x:c r="E24" s="11"/>
      <x:c r="F24" s="11"/>
    </x:row>
    <x:row r="25">
      <x:c r="A25" s="16" t="str">
        <x:v>주의</x:v>
      </x:c>
      <x:c r="B25" s="11" t="str">
        <x:v>현재 파일은 검수 패킷이며 독립 성능으로 주장할 수 없음</x:v>
      </x:c>
      <x:c r="C25" s="11"/>
      <x:c r="D25" s="11"/>
      <x:c r="E25" s="11"/>
      <x:c r="F25" s="1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0" hidden="0" customWidth="1"/>
    <x:col min="4" max="4" width="48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55" hidden="0" customWidth="1"/>
    <x:col min="10" max="10" width="32" hidden="0" customWidth="1"/>
    <x:col min="11" max="11" width="36" hidden="0" customWidth="1"/>
    <x:col min="12" max="12" width="21" hidden="0" customWidth="1"/>
    <x:col min="13" max="13" width="21" hidden="0" customWidth="1"/>
    <x:col min="14" max="14" width="20" hidden="0" customWidth="1"/>
    <x:col min="15" max="15" width="20" hidden="0" customWidth="1"/>
    <x:col min="16" max="16" width="20" hidden="0" customWidth="1"/>
    <x:col min="17" max="17" width="16" hidden="0" customWidth="1"/>
    <x:col min="18" max="18" width="45" hidden="0" customWidth="1"/>
  </x:cols>
  <x:sheetData>
    <x:row r="1" ht="28" customHeight="1">
      <x:c r="A1" s="8" t="str">
        <x:v>Slot</x:v>
      </x:c>
      <x:c r="B1" s="8" t="str">
        <x:v>Source</x:v>
      </x:c>
      <x:c r="C1" s="8" t="str">
        <x:v>Primary dimension</x:v>
      </x:c>
      <x:c r="D1" s="8" t="str">
        <x:v>Question</x:v>
      </x:c>
      <x:c r="E1" s="8" t="str">
        <x:v>Expected mode</x:v>
      </x:c>
      <x:c r="F1" s="8" t="str">
        <x:v>Time scope</x:v>
      </x:c>
      <x:c r="G1" s="8" t="str">
        <x:v>As of</x:v>
      </x:c>
      <x:c r="H1" s="8" t="str">
        <x:v>Req count</x:v>
      </x:c>
      <x:c r="I1" s="8" t="str">
        <x:v>Requirements summary</x:v>
      </x:c>
      <x:c r="J1" s="8" t="str">
        <x:v>Primary document</x:v>
      </x:c>
      <x:c r="K1" s="8" t="str">
        <x:v>Source URL</x:v>
      </x:c>
      <x:c r="L1" s="8" t="str">
        <x:v>Author status</x:v>
      </x:c>
      <x:c r="M1" s="8" t="str">
        <x:v>Review status</x:v>
      </x:c>
      <x:c r="N1" s="8" t="str">
        <x:v>Reviewer ID</x:v>
      </x:c>
      <x:c r="O1" s="8" t="str">
        <x:v>Reviewed at</x:v>
      </x:c>
      <x:c r="P1" s="8" t="str">
        <x:v>Review rationale</x:v>
      </x:c>
      <x:c r="Q1" s="8" t="str">
        <x:v>Execution allowed</x:v>
      </x:c>
      <x:c r="R1" s="8" t="str">
        <x:v>Parent overlap exception</x:v>
      </x:c>
    </x:row>
    <x:row r="2" ht="64" customHeight="1">
      <x:c r="A2" s="11" t="n">
        <x:v>1</x:v>
      </x:c>
      <x:c r="B2" s="11" t="str">
        <x:v>dnf_notice</x:v>
      </x:c>
      <x:c r="C2" s="11" t="str">
        <x:v>temporal_role</x:v>
      </x:c>
      <x:c r="D2" s="11" t="str">
        <x:v>2026년 세라 이용약관 개정안은 언제부터 적용돼?</x:v>
      </x:c>
      <x:c r="E2" s="11" t="str">
        <x:v>full_answer</x:v>
      </x:c>
      <x:c r="F2" s="11" t="str">
        <x:v>current</x:v>
      </x:c>
      <x:c r="G2" s="11" t="str">
        <x:v>2026-07-17</x:v>
      </x:c>
      <x:c r="H2" s="11" t="n">
        <x:v>1</x:v>
      </x:c>
      <x:c r="I2" s="11" t="str">
        <x:v>effective_date: 세라 이용약관 개정안 / effective_at / date / ["2026-05-28"]</x:v>
      </x:c>
      <x:c r="J2" s="11" t="str">
        <x:v>세라 이용약관 개정 안내</x:v>
      </x:c>
      <x:c r="K2" s="11" t="str">
        <x:v>https://df.nexon.com/community/news/notice/2927117</x:v>
      </x:c>
      <x:c r="L2" s="11" t="str">
        <x:v>draft_complete_pending_human_review</x:v>
      </x:c>
      <x:c r="M2" s="11" t="str">
        <x:v>pending</x:v>
      </x:c>
      <x:c r="N2" s="11"/>
      <x:c r="O2" s="11"/>
      <x:c r="P2" s="11"/>
      <x:c r="Q2" s="20" t="b">
        <x:v>0</x:v>
      </x:c>
      <x:c r="R2" s="11"/>
    </x:row>
    <x:row r="3" ht="64" customHeight="1">
      <x:c r="A3" s="11" t="n">
        <x:v>2</x:v>
      </x:c>
      <x:c r="B3" s="11" t="str">
        <x:v>dnf_notice</x:v>
      </x:c>
      <x:c r="C3" s="11" t="str">
        <x:v>boolean_direction</x:v>
      </x:c>
      <x:c r="D3" s="11" t="str">
        <x:v>4월 2일 확인된 오류 기준으로 조율의 경계에서 광휘의 의지를 열면 연출이 정상 출력됐어?</x:v>
      </x:c>
      <x:c r="E3" s="11" t="str">
        <x:v>full_answer</x:v>
      </x:c>
      <x:c r="F3" s="11" t="str">
        <x:v>current</x:v>
      </x:c>
      <x:c r="G3" s="11" t="str">
        <x:v>2026-07-17</x:v>
      </x:c>
      <x:c r="H3" s="11" t="n">
        <x:v>1</x:v>
      </x:c>
      <x:c r="I3" s="11" t="str">
        <x:v>effect_rendered: 조율의 경계 - 광휘의 의지 개봉 연출 / is_normally_rendered / boolean / [false]</x:v>
      </x:c>
      <x:c r="J3" s="11" t="str">
        <x:v>4/2(목) 확인된 오류 안내</x:v>
      </x:c>
      <x:c r="K3" s="11" t="str">
        <x:v>https://df.nexon.com/community/news/notice/2926884</x:v>
      </x:c>
      <x:c r="L3" s="11" t="str">
        <x:v>draft_complete_pending_human_review</x:v>
      </x:c>
      <x:c r="M3" s="11" t="str">
        <x:v>pending</x:v>
      </x:c>
      <x:c r="N3" s="11"/>
      <x:c r="O3" s="11"/>
      <x:c r="P3" s="11"/>
      <x:c r="Q3" s="20" t="b">
        <x:v>0</x:v>
      </x:c>
      <x:c r="R3" s="11"/>
    </x:row>
    <x:row r="4" ht="64" customHeight="1">
      <x:c r="A4" s="11" t="n">
        <x:v>3</x:v>
      </x:c>
      <x:c r="B4" s="11" t="str">
        <x:v>dnf_notice</x:v>
      </x:c>
      <x:c r="C4" s="11" t="str">
        <x:v>sibling_relation</x:v>
      </x:c>
      <x:c r="D4" s="11" t="str">
        <x:v>세리아와 함께한 20주년 선물 5주차 추첨에서 그래픽카드와 키보드·장패드는 각각 몇 개였어?</x:v>
      </x:c>
      <x:c r="E4" s="11" t="str">
        <x:v>full_answer</x:v>
      </x:c>
      <x:c r="F4" s="11" t="str">
        <x:v>current</x:v>
      </x:c>
      <x:c r="G4" s="11" t="str">
        <x:v>2026-07-17</x:v>
      </x:c>
      <x:c r="H4" s="11" t="n">
        <x:v>2</x:v>
      </x:c>
      <x:c r="I4" s="11" t="str">
        <x:v>graphics_card_quantity: [20th special]던전 앤 그래픽카드 / drawing_goods_quantity / number / [4]
keyboard_mousepad_quantity: [20th special]20주년 키보드 + 장패드 / drawing_goods_quantity / number / [12]</x:v>
      </x:c>
      <x:c r="J4" s="11" t="str">
        <x:v>[5주차] 세리아와 함께한 20주년 선물 추첨 당첨자 발표</x:v>
      </x:c>
      <x:c r="K4" s="11" t="str">
        <x:v>https://df.nexon.com/community/news/notice/2924996</x:v>
      </x:c>
      <x:c r="L4" s="11" t="str">
        <x:v>draft_complete_pending_human_review</x:v>
      </x:c>
      <x:c r="M4" s="11" t="str">
        <x:v>pending</x:v>
      </x:c>
      <x:c r="N4" s="11"/>
      <x:c r="O4" s="11"/>
      <x:c r="P4" s="11"/>
      <x:c r="Q4" s="20" t="b">
        <x:v>0</x:v>
      </x:c>
      <x:c r="R4" s="11"/>
    </x:row>
    <x:row r="5" ht="64" customHeight="1">
      <x:c r="A5" s="11" t="n">
        <x:v>4</x:v>
      </x:c>
      <x:c r="B5" s="11" t="str">
        <x:v>dnf_notice</x:v>
      </x:c>
      <x:c r="C5" s="11" t="str">
        <x:v>multi_requirement</x:v>
      </x:c>
      <x:c r="D5" s="11" t="str">
        <x:v>Chrome 141 업데이트로 ISP 결제에 어떤 영향이 있었고, 권한 알림이 뜨면 어떻게 해야 했어?</x:v>
      </x:c>
      <x:c r="E5" s="11" t="str">
        <x:v>full_answer</x:v>
      </x:c>
      <x:c r="F5" s="11" t="str">
        <x:v>current</x:v>
      </x:c>
      <x:c r="G5" s="11" t="str">
        <x:v>2026-07-17</x:v>
      </x:c>
      <x:c r="H5" s="11" t="n">
        <x:v>2</x:v>
      </x:c>
      <x:c r="I5" s="11" t="str">
        <x:v>payment_impact: Chrome 141 업데이트 / payment_impact / text / ["로컬 네트워크 접근이 기본 활성화로 변경되어 ISP 결제가 불가"]
permission_action: ISP 결제 로컬 네트워크 접근 알림 / recommended_action / enum / ["허용"]</x:v>
      </x:c>
      <x:c r="J5" s="11" t="str">
        <x:v>Chrome 브라우저 신규 버전(141) 업데이트 시 ISP 결제 불가 현상 및 조치 방법 안내</x:v>
      </x:c>
      <x:c r="K5" s="11" t="str">
        <x:v>https://df.nexon.com/community/news/notice/2923292</x:v>
      </x:c>
      <x:c r="L5" s="11" t="str">
        <x:v>draft_complete_pending_human_review</x:v>
      </x:c>
      <x:c r="M5" s="11" t="str">
        <x:v>pending</x:v>
      </x:c>
      <x:c r="N5" s="11"/>
      <x:c r="O5" s="11"/>
      <x:c r="P5" s="11"/>
      <x:c r="Q5" s="20" t="b">
        <x:v>0</x:v>
      </x:c>
      <x:c r="R5" s="11"/>
    </x:row>
    <x:row r="6" ht="64" customHeight="1">
      <x:c r="A6" s="11" t="n">
        <x:v>5</x:v>
      </x:c>
      <x:c r="B6" s="11" t="str">
        <x:v>dnf_notice</x:v>
      </x:c>
      <x:c r="C6" s="11" t="str">
        <x:v>table_attribute</x:v>
      </x:c>
      <x:c r="D6" s="11" t="str">
        <x:v>2026년 4월 2일 정기점검은 몇 시부터 몇 시까지였어?</x:v>
      </x:c>
      <x:c r="E6" s="11" t="str">
        <x:v>full_answer</x:v>
      </x:c>
      <x:c r="F6" s="11" t="str">
        <x:v>historical</x:v>
      </x:c>
      <x:c r="G6" s="11" t="str">
        <x:v>2026-07-17</x:v>
      </x:c>
      <x:c r="H6" s="11" t="n">
        <x:v>1</x:v>
      </x:c>
      <x:c r="I6" s="11" t="str">
        <x:v>maintenance_time: 2026년 4월 2일 정기점검 / maintenance_time / date_range / ["04:30","10:00"]</x:v>
      </x:c>
      <x:c r="J6" s="11" t="str">
        <x:v>4/2(목) 정기점검 안내</x:v>
      </x:c>
      <x:c r="K6" s="11" t="str">
        <x:v>https://df.nexon.com/community/news/notice/2926860</x:v>
      </x:c>
      <x:c r="L6" s="11" t="str">
        <x:v>draft_complete_pending_human_review</x:v>
      </x:c>
      <x:c r="M6" s="11" t="str">
        <x:v>pending</x:v>
      </x:c>
      <x:c r="N6" s="11"/>
      <x:c r="O6" s="11"/>
      <x:c r="P6" s="11"/>
      <x:c r="Q6" s="20" t="b">
        <x:v>0</x:v>
      </x:c>
      <x:c r="R6" s="11"/>
    </x:row>
    <x:row r="7" ht="64" customHeight="1">
      <x:c r="A7" s="11" t="n">
        <x:v>6</x:v>
      </x:c>
      <x:c r="B7" s="11" t="str">
        <x:v>dnf_notice</x:v>
      </x:c>
      <x:c r="C7" s="11" t="str">
        <x:v>revision_selection</x:v>
      </x:c>
      <x:c r="D7" s="11" t="str">
        <x:v>2025년에 공지된 던전앤파이터 운영정책 변경은 언제 시행될 예정이었어?</x:v>
      </x:c>
      <x:c r="E7" s="11" t="str">
        <x:v>full_answer</x:v>
      </x:c>
      <x:c r="F7" s="11" t="str">
        <x:v>historical</x:v>
      </x:c>
      <x:c r="G7" s="11" t="str">
        <x:v>2026-07-17</x:v>
      </x:c>
      <x:c r="H7" s="11" t="n">
        <x:v>1</x:v>
      </x:c>
      <x:c r="I7" s="11" t="str">
        <x:v>policy_effective_date: 던전앤파이터 운영정책 변경 / effective_at / date / ["2025-11-01"]</x:v>
      </x:c>
      <x:c r="J7" s="11" t="str">
        <x:v>던전앤파이터 운영정책 변경 안내</x:v>
      </x:c>
      <x:c r="K7" s="11" t="str">
        <x:v>https://df.nexon.com/community/news/notice/2923361</x:v>
      </x:c>
      <x:c r="L7" s="11" t="str">
        <x:v>draft_complete_pending_human_review</x:v>
      </x:c>
      <x:c r="M7" s="11" t="str">
        <x:v>pending</x:v>
      </x:c>
      <x:c r="N7" s="11"/>
      <x:c r="O7" s="11"/>
      <x:c r="P7" s="11"/>
      <x:c r="Q7" s="20" t="b">
        <x:v>0</x:v>
      </x:c>
      <x:c r="R7" s="11"/>
    </x:row>
    <x:row r="8" ht="64" customHeight="1">
      <x:c r="A8" s="11" t="n">
        <x:v>7</x:v>
      </x:c>
      <x:c r="B8" s="11" t="str">
        <x:v>dnf_notice</x:v>
      </x:c>
      <x:c r="C8" s="11" t="str">
        <x:v>unsupported_or_partial</x:v>
      </x:c>
      <x:c r="D8" s="11" t="str">
        <x:v>4월 2일 조율의 경계 연출 오류는 확인 중이었는지와 정확한 수정 완료 시각을 알려줘.</x:v>
      </x:c>
      <x:c r="E8" s="11" t="str">
        <x:v>partial_answer</x:v>
      </x:c>
      <x:c r="F8" s="11" t="str">
        <x:v>current</x:v>
      </x:c>
      <x:c r="G8" s="11" t="str">
        <x:v>2026-07-17</x:v>
      </x:c>
      <x:c r="H8" s="11" t="n">
        <x:v>2</x:v>
      </x:c>
      <x:c r="I8" s="11" t="str">
        <x:v>investigation_status: 조율의 경계 연출 오류 / investigation_status / enum / ["확인 중"]
fixed_at: 조율의 경계 연출 오류 / fixed_at / datetime / []</x:v>
      </x:c>
      <x:c r="J8" s="11" t="str">
        <x:v>4/2(목) 확인된 오류 안내</x:v>
      </x:c>
      <x:c r="K8" s="11" t="str">
        <x:v>https://df.nexon.com/community/news/notice/2926884</x:v>
      </x:c>
      <x:c r="L8" s="11" t="str">
        <x:v>draft_complete_pending_human_review</x:v>
      </x:c>
      <x:c r="M8" s="11" t="str">
        <x:v>pending</x:v>
      </x:c>
      <x:c r="N8" s="11"/>
      <x:c r="O8" s="11"/>
      <x:c r="P8" s="11"/>
      <x:c r="Q8" s="20" t="b">
        <x:v>0</x:v>
      </x:c>
      <x:c r="R8" s="11"/>
    </x:row>
    <x:row r="9" ht="64" customHeight="1">
      <x:c r="A9" s="11" t="n">
        <x:v>8</x:v>
      </x:c>
      <x:c r="B9" s="11" t="str">
        <x:v>dnf_notice</x:v>
      </x:c>
      <x:c r="C9" s="11" t="str">
        <x:v>direct_fact</x:v>
      </x:c>
      <x:c r="D9" s="11" t="str">
        <x:v>세리아의 특별 상점은 게임 안에서 어디서 찾을 수 있어?</x:v>
      </x:c>
      <x:c r="E9" s="11" t="str">
        <x:v>full_answer</x:v>
      </x:c>
      <x:c r="F9" s="11" t="str">
        <x:v>current</x:v>
      </x:c>
      <x:c r="G9" s="11" t="str">
        <x:v>2026-07-17</x:v>
      </x:c>
      <x:c r="H9" s="11" t="n">
        <x:v>1</x:v>
      </x:c>
      <x:c r="I9" s="11" t="str">
        <x:v>shop_location: 세리아의 특별 상점 / location / text / ["세리아방의 NPC 세리아"]</x:v>
      </x:c>
      <x:c r="J9" s="11" t="str">
        <x:v>6/12(금) 세리아 특별 상점 물품 판매 안내</x:v>
      </x:c>
      <x:c r="K9" s="11" t="str">
        <x:v>https://df.nexon.com/community/news/notice/2927710</x:v>
      </x:c>
      <x:c r="L9" s="11" t="str">
        <x:v>draft_complete_pending_human_review</x:v>
      </x:c>
      <x:c r="M9" s="11" t="str">
        <x:v>pending</x:v>
      </x:c>
      <x:c r="N9" s="11"/>
      <x:c r="O9" s="11"/>
      <x:c r="P9" s="11"/>
      <x:c r="Q9" s="20" t="b">
        <x:v>0</x:v>
      </x:c>
      <x:c r="R9" s="11"/>
    </x:row>
    <x:row r="10" ht="64" customHeight="1">
      <x:c r="A10" s="11" t="n">
        <x:v>9</x:v>
      </x:c>
      <x:c r="B10" s="11" t="str">
        <x:v>dnf_update</x:v>
      </x:c>
      <x:c r="C10" s="11" t="str">
        <x:v>temporal_role</x:v>
      </x:c>
      <x:c r="D10" s="11" t="str">
        <x:v>시즌 11 Act 2 '제국의 파도 &amp; 폭권' 업데이트는 언제 적용됐어?</x:v>
      </x:c>
      <x:c r="E10" s="11" t="str">
        <x:v>full_answer</x:v>
      </x:c>
      <x:c r="F10" s="11" t="str">
        <x:v>current</x:v>
      </x:c>
      <x:c r="G10" s="11" t="str">
        <x:v>2026-07-17</x:v>
      </x:c>
      <x:c r="H10" s="11" t="n">
        <x:v>1</x:v>
      </x:c>
      <x:c r="I10" s="11" t="str">
        <x:v>effective_date: 시즌 11 Act 2. 제국의 파도 &amp; 폭권 / effective_at / date / ["2026-06-04"]</x:v>
      </x:c>
      <x:c r="J10" s="11" t="str">
        <x:v>시즌 11 Act 2. 제국의 파도 ＆ 폭권</x:v>
      </x:c>
      <x:c r="K10" s="11" t="str">
        <x:v>https://df.nexon.com/community/news/update/2927617</x:v>
      </x:c>
      <x:c r="L10" s="11" t="str">
        <x:v>draft_complete_pending_human_review</x:v>
      </x:c>
      <x:c r="M10" s="11" t="str">
        <x:v>pending</x:v>
      </x:c>
      <x:c r="N10" s="11"/>
      <x:c r="O10" s="11"/>
      <x:c r="P10" s="11"/>
      <x:c r="Q10" s="20" t="b">
        <x:v>0</x:v>
      </x:c>
      <x:c r="R10" s="11"/>
    </x:row>
    <x:row r="11" ht="64" customHeight="1">
      <x:c r="A11" s="11" t="n">
        <x:v>10</x:v>
      </x:c>
      <x:c r="B11" s="11" t="str">
        <x:v>dnf_update</x:v>
      </x:c>
      <x:c r="C11" s="11" t="str">
        <x:v>boolean_direction</x:v>
      </x:c>
      <x:c r="D11" s="11" t="str">
        <x:v>7월 9일 업데이트에서 DirectX11의 높은 메모리 사용량 문제가 수정됐어?</x:v>
      </x:c>
      <x:c r="E11" s="11" t="str">
        <x:v>full_answer</x:v>
      </x:c>
      <x:c r="F11" s="11" t="str">
        <x:v>current</x:v>
      </x:c>
      <x:c r="G11" s="11" t="str">
        <x:v>2026-07-17</x:v>
      </x:c>
      <x:c r="H11" s="11" t="n">
        <x:v>1</x:v>
      </x:c>
      <x:c r="I11" s="11" t="str">
        <x:v>dx11_memory_fixed: DirectX11 높은 메모리 사용량 / is_fixed / boolean / [true]</x:v>
      </x:c>
      <x:c r="J11" s="11" t="str">
        <x:v>7/9(목) 정기점검 업데이트 안내</x:v>
      </x:c>
      <x:c r="K11" s="11" t="str">
        <x:v>https://df.nexon.com/community/news/update/2927913</x:v>
      </x:c>
      <x:c r="L11" s="11" t="str">
        <x:v>draft_complete_pending_human_review</x:v>
      </x:c>
      <x:c r="M11" s="11" t="str">
        <x:v>pending</x:v>
      </x:c>
      <x:c r="N11" s="11"/>
      <x:c r="O11" s="11"/>
      <x:c r="P11" s="11"/>
      <x:c r="Q11" s="20" t="b">
        <x:v>0</x:v>
      </x:c>
      <x:c r="R11" s="11"/>
    </x:row>
    <x:row r="12" ht="64" customHeight="1">
      <x:c r="A12" s="11" t="n">
        <x:v>11</x:v>
      </x:c>
      <x:c r="B12" s="11" t="str">
        <x:v>dnf_update</x:v>
      </x:c>
      <x:c r="C12" s="11" t="str">
        <x:v>sibling_relation</x:v>
      </x:c>
      <x:c r="D12" s="11" t="str">
        <x:v>7월 9일 최적화 업데이트에서 던전 플레이 메모리와 DirectX11 메모리는 각각 어떻게 바뀌었어?</x:v>
      </x:c>
      <x:c r="E12" s="11" t="str">
        <x:v>full_answer</x:v>
      </x:c>
      <x:c r="F12" s="11" t="str">
        <x:v>current</x:v>
      </x:c>
      <x:c r="G12" s="11" t="str">
        <x:v>2026-07-17</x:v>
      </x:c>
      <x:c r="H12" s="11" t="n">
        <x:v>2</x:v>
      </x:c>
      <x:c r="I12" s="11" t="str">
        <x:v>dungeon_memory: 던전 플레이 메모리 사용량 / change / enum / ["감소"]
dx11_memory: DirectX11 메모리 사용량 문제 / change / enum / ["수정"]</x:v>
      </x:c>
      <x:c r="J12" s="11" t="str">
        <x:v>7/9(목) 정기점검 업데이트 안내</x:v>
      </x:c>
      <x:c r="K12" s="11" t="str">
        <x:v>https://df.nexon.com/community/news/update/2927913</x:v>
      </x:c>
      <x:c r="L12" s="11" t="str">
        <x:v>draft_complete_pending_human_review</x:v>
      </x:c>
      <x:c r="M12" s="11" t="str">
        <x:v>pending</x:v>
      </x:c>
      <x:c r="N12" s="11"/>
      <x:c r="O12" s="11"/>
      <x:c r="P12" s="11"/>
      <x:c r="Q12" s="20" t="b">
        <x:v>0</x:v>
      </x:c>
      <x:c r="R12" s="11"/>
    </x:row>
    <x:row r="13" ht="64" customHeight="1">
      <x:c r="A13" s="11" t="n">
        <x:v>12</x:v>
      </x:c>
      <x:c r="B13" s="11" t="str">
        <x:v>dnf_update</x:v>
      </x:c>
      <x:c r="C13" s="11" t="str">
        <x:v>multi_requirement</x:v>
      </x:c>
      <x:c r="D13" s="11" t="str">
        <x:v>5월 28일 업데이트의 태초 소울 1개 상자는 광휘의 잔영 몇 개였고 월 구매 제한은 몇 회였어?</x:v>
      </x:c>
      <x:c r="E13" s="11" t="str">
        <x:v>full_answer</x:v>
      </x:c>
      <x:c r="F13" s="11" t="str">
        <x:v>current</x:v>
      </x:c>
      <x:c r="G13" s="11" t="str">
        <x:v>2026-07-17</x:v>
      </x:c>
      <x:c r="H13" s="11" t="n">
        <x:v>2</x:v>
      </x:c>
      <x:c r="I13" s="11" t="str">
        <x:v>price: 태초 소울 1개 상자 / price / currency / [{"amount":120,"unit":"광휘의 잔영"}]
monthly_limit: 태초 소울 1개 상자 / purchase_limit / number / [4]</x:v>
      </x:c>
      <x:c r="J13" s="11" t="str">
        <x:v>5/28(목) 정기점검 업데이트 안내</x:v>
      </x:c>
      <x:c r="K13" s="11" t="str">
        <x:v>https://df.nexon.com/community/news/update/2927522</x:v>
      </x:c>
      <x:c r="L13" s="11" t="str">
        <x:v>draft_complete_pending_human_review</x:v>
      </x:c>
      <x:c r="M13" s="11" t="str">
        <x:v>pending</x:v>
      </x:c>
      <x:c r="N13" s="11"/>
      <x:c r="O13" s="11"/>
      <x:c r="P13" s="11"/>
      <x:c r="Q13" s="20" t="b">
        <x:v>0</x:v>
      </x:c>
      <x:c r="R13" s="11"/>
    </x:row>
    <x:row r="14" ht="64" customHeight="1">
      <x:c r="A14" s="11" t="n">
        <x:v>13</x:v>
      </x:c>
      <x:c r="B14" s="11" t="str">
        <x:v>dnf_update</x:v>
      </x:c>
      <x:c r="C14" s="11" t="str">
        <x:v>table_attribute</x:v>
      </x:c>
      <x:c r="D14" s="11" t="str">
        <x:v>5월 28일 업데이트에서 광휘의 잔영의 거래 타입은 뭐였어?</x:v>
      </x:c>
      <x:c r="E14" s="11" t="str">
        <x:v>full_answer</x:v>
      </x:c>
      <x:c r="F14" s="11" t="str">
        <x:v>current</x:v>
      </x:c>
      <x:c r="G14" s="11" t="str">
        <x:v>2026-07-17</x:v>
      </x:c>
      <x:c r="H14" s="11" t="n">
        <x:v>1</x:v>
      </x:c>
      <x:c r="I14" s="11" t="str">
        <x:v>trade_type: 광휘의 잔영 / trade_type / enum / ["교환불가"]</x:v>
      </x:c>
      <x:c r="J14" s="11" t="str">
        <x:v>5/28(목) 정기점검 업데이트 안내</x:v>
      </x:c>
      <x:c r="K14" s="11" t="str">
        <x:v>https://df.nexon.com/community/news/update/2927522</x:v>
      </x:c>
      <x:c r="L14" s="11" t="str">
        <x:v>draft_complete_pending_human_review</x:v>
      </x:c>
      <x:c r="M14" s="11" t="str">
        <x:v>pending</x:v>
      </x:c>
      <x:c r="N14" s="11"/>
      <x:c r="O14" s="11"/>
      <x:c r="P14" s="11"/>
      <x:c r="Q14" s="20" t="b">
        <x:v>0</x:v>
      </x:c>
      <x:c r="R14" s="11"/>
    </x:row>
    <x:row r="15" ht="64" customHeight="1">
      <x:c r="A15" s="11" t="n">
        <x:v>14</x:v>
      </x:c>
      <x:c r="B15" s="11" t="str">
        <x:v>dnf_update</x:v>
      </x:c>
      <x:c r="C15" s="11" t="str">
        <x:v>revision_selection</x:v>
      </x:c>
      <x:c r="D15" s="11" t="str">
        <x:v>시즌 11 Act 1 업데이트 공지는 어느 날짜 점검에 적용된다고 했어?</x:v>
      </x:c>
      <x:c r="E15" s="11" t="str">
        <x:v>full_answer</x:v>
      </x:c>
      <x:c r="F15" s="11" t="str">
        <x:v>historical</x:v>
      </x:c>
      <x:c r="G15" s="11" t="str">
        <x:v>2026-07-17</x:v>
      </x:c>
      <x:c r="H15" s="11" t="n">
        <x:v>1</x:v>
      </x:c>
      <x:c r="I15" s="11" t="str">
        <x:v>effective_date: 시즌 11 Act 1 / effective_at / date / ["2026-04-23"]</x:v>
      </x:c>
      <x:c r="J15" s="11" t="str">
        <x:v>시즌 11 Act 1. 아포칼립스 : 안티엔바이</x:v>
      </x:c>
      <x:c r="K15" s="11" t="str">
        <x:v>https://df.nexon.com/community/news/update/2927122</x:v>
      </x:c>
      <x:c r="L15" s="11" t="str">
        <x:v>draft_complete_pending_human_review</x:v>
      </x:c>
      <x:c r="M15" s="11" t="str">
        <x:v>pending</x:v>
      </x:c>
      <x:c r="N15" s="11"/>
      <x:c r="O15" s="11"/>
      <x:c r="P15" s="11"/>
      <x:c r="Q15" s="20" t="b">
        <x:v>0</x:v>
      </x:c>
      <x:c r="R15" s="11"/>
    </x:row>
    <x:row r="16" ht="64" customHeight="1">
      <x:c r="A16" s="11" t="n">
        <x:v>15</x:v>
      </x:c>
      <x:c r="B16" s="11" t="str">
        <x:v>dnf_update</x:v>
      </x:c>
      <x:c r="C16" s="11" t="str">
        <x:v>unsupported_or_partial</x:v>
      </x:c>
      <x:c r="D16" s="11" t="str">
        <x:v>7월 9일 업데이트에서 DirectX11 메모리 문제의 수정 여부와 메모리 사용량 감소율을 알려줘.</x:v>
      </x:c>
      <x:c r="E16" s="11" t="str">
        <x:v>partial_answer</x:v>
      </x:c>
      <x:c r="F16" s="11" t="str">
        <x:v>current</x:v>
      </x:c>
      <x:c r="G16" s="11" t="str">
        <x:v>2026-07-17</x:v>
      </x:c>
      <x:c r="H16" s="11" t="n">
        <x:v>2</x:v>
      </x:c>
      <x:c r="I16" s="11" t="str">
        <x:v>fixed: DirectX11 높은 메모리 사용량 / is_fixed / boolean / [true]
reduction_percentage: DirectX11 메모리 사용량 / reduction_percentage / percentage / []</x:v>
      </x:c>
      <x:c r="J16" s="11" t="str">
        <x:v>7/9(목) 정기점검 업데이트 안내</x:v>
      </x:c>
      <x:c r="K16" s="11" t="str">
        <x:v>https://df.nexon.com/community/news/update/2927913</x:v>
      </x:c>
      <x:c r="L16" s="11" t="str">
        <x:v>draft_complete_pending_human_review</x:v>
      </x:c>
      <x:c r="M16" s="11" t="str">
        <x:v>pending</x:v>
      </x:c>
      <x:c r="N16" s="11"/>
      <x:c r="O16" s="11"/>
      <x:c r="P16" s="11"/>
      <x:c r="Q16" s="20" t="b">
        <x:v>0</x:v>
      </x:c>
      <x:c r="R16" s="11"/>
    </x:row>
    <x:row r="17" ht="64" customHeight="1">
      <x:c r="A17" s="11" t="n">
        <x:v>16</x:v>
      </x:c>
      <x:c r="B17" s="11" t="str">
        <x:v>dnf_update</x:v>
      </x:c>
      <x:c r="C17" s="11" t="str">
        <x:v>direct_fact</x:v>
      </x:c>
      <x:c r="D17" s="11" t="str">
        <x:v>7월 9일 업데이트에서 디레지에 레이드 입장 시 무엇이 개선됐어?</x:v>
      </x:c>
      <x:c r="E17" s="11" t="str">
        <x:v>full_answer</x:v>
      </x:c>
      <x:c r="F17" s="11" t="str">
        <x:v>current</x:v>
      </x:c>
      <x:c r="G17" s="11" t="str">
        <x:v>2026-07-17</x:v>
      </x:c>
      <x:c r="H17" s="11" t="n">
        <x:v>1</x:v>
      </x:c>
      <x:c r="I17" s="11" t="str">
        <x:v>improvement: 디레지에 레이드 던전 입장 / improvement / text / ["로딩 속도"]</x:v>
      </x:c>
      <x:c r="J17" s="11" t="str">
        <x:v>7/9(목) 정기점검 업데이트 안내</x:v>
      </x:c>
      <x:c r="K17" s="11" t="str">
        <x:v>https://df.nexon.com/community/news/update/2927913</x:v>
      </x:c>
      <x:c r="L17" s="11" t="str">
        <x:v>draft_complete_pending_human_review</x:v>
      </x:c>
      <x:c r="M17" s="11" t="str">
        <x:v>pending</x:v>
      </x:c>
      <x:c r="N17" s="11"/>
      <x:c r="O17" s="11"/>
      <x:c r="P17" s="11"/>
      <x:c r="Q17" s="20" t="b">
        <x:v>0</x:v>
      </x:c>
      <x:c r="R17" s="11"/>
    </x:row>
    <x:row r="18" ht="64" customHeight="1">
      <x:c r="A18" s="11" t="n">
        <x:v>17</x:v>
      </x:c>
      <x:c r="B18" s="11" t="str">
        <x:v>dnf_event</x:v>
      </x:c>
      <x:c r="C18" s="11" t="str">
        <x:v>temporal_role</x:v>
      </x:c>
      <x:c r="D18" s="11" t="str">
        <x:v>미라클의 해양 탐구 생활 이벤트 기간은 언제부터 언제까지야?</x:v>
      </x:c>
      <x:c r="E18" s="11" t="str">
        <x:v>full_answer</x:v>
      </x:c>
      <x:c r="F18" s="11" t="str">
        <x:v>current</x:v>
      </x:c>
      <x:c r="G18" s="11" t="str">
        <x:v>2026-07-17</x:v>
      </x:c>
      <x:c r="H18" s="11" t="n">
        <x:v>1</x:v>
      </x:c>
      <x:c r="I18" s="11" t="str">
        <x:v>event_period: 미라클의 해양 탐구 생활 / event_period / date_range / ["2026-06-04","2026-08-27"]</x:v>
      </x:c>
      <x:c r="J18" s="11" t="str">
        <x:v>미라클의 해양 탐구 생활</x:v>
      </x:c>
      <x:c r="K18" s="11" t="str">
        <x:v>https://df.nexon.com/pg/oceanmiracle</x:v>
      </x:c>
      <x:c r="L18" s="11" t="str">
        <x:v>draft_complete_pending_human_review</x:v>
      </x:c>
      <x:c r="M18" s="11" t="str">
        <x:v>pending</x:v>
      </x:c>
      <x:c r="N18" s="11"/>
      <x:c r="O18" s="11"/>
      <x:c r="P18" s="11"/>
      <x:c r="Q18" s="20" t="b">
        <x:v>0</x:v>
      </x:c>
      <x:c r="R18" s="11"/>
    </x:row>
    <x:row r="19" ht="64" customHeight="1">
      <x:c r="A19" s="11" t="n">
        <x:v>18</x:v>
      </x:c>
      <x:c r="B19" s="11" t="str">
        <x:v>dnf_event</x:v>
      </x:c>
      <x:c r="C19" s="11" t="str">
        <x:v>boolean_direction</x:v>
      </x:c>
      <x:c r="D19" s="11" t="str">
        <x:v>썸머 블라썸의 여름을 부탁해 이벤트 효과는 결투장에도 적용돼?</x:v>
      </x:c>
      <x:c r="E19" s="11" t="str">
        <x:v>full_answer</x:v>
      </x:c>
      <x:c r="F19" s="11" t="str">
        <x:v>current</x:v>
      </x:c>
      <x:c r="G19" s="11" t="str">
        <x:v>2026-07-17</x:v>
      </x:c>
      <x:c r="H19" s="11" t="n">
        <x:v>1</x:v>
      </x:c>
      <x:c r="I19" s="11" t="str">
        <x:v>applies_to_arena: 썸머 블라썸 이벤트 효과 / applies_to_duel_arena / boolean / [false]</x:v>
      </x:c>
      <x:c r="J19" s="11" t="str">
        <x:v>썸머 블라썸의 여름을 부탁해!</x:v>
      </x:c>
      <x:c r="K19" s="11" t="str">
        <x:v>https://df.nexon.com/pg/summerblossom</x:v>
      </x:c>
      <x:c r="L19" s="11" t="str">
        <x:v>draft_complete_pending_human_review</x:v>
      </x:c>
      <x:c r="M19" s="11" t="str">
        <x:v>pending</x:v>
      </x:c>
      <x:c r="N19" s="11"/>
      <x:c r="O19" s="11"/>
      <x:c r="P19" s="11"/>
      <x:c r="Q19" s="20" t="b">
        <x:v>0</x:v>
      </x:c>
      <x:c r="R19" s="11"/>
    </x:row>
    <x:row r="20" ht="64" customHeight="1">
      <x:c r="A20" s="11" t="n">
        <x:v>19</x:v>
      </x:c>
      <x:c r="B20" s="11" t="str">
        <x:v>dnf_event</x:v>
      </x:c>
      <x:c r="C20" s="11" t="str">
        <x:v>sibling_relation</x:v>
      </x:c>
      <x:c r="D20" s="11" t="str">
        <x:v>썸머 특제 피로도 30 회복의 비약은 1회차와 7회차에 각각 얼마였어?</x:v>
      </x:c>
      <x:c r="E20" s="11" t="str">
        <x:v>full_answer</x:v>
      </x:c>
      <x:c r="F20" s="11" t="str">
        <x:v>current</x:v>
      </x:c>
      <x:c r="G20" s="11" t="str">
        <x:v>2026-07-17</x:v>
      </x:c>
      <x:c r="H20" s="11" t="n">
        <x:v>2</x:v>
      </x:c>
      <x:c r="I20" s="11" t="str">
        <x:v>first_purchase_price: [세라샵]2026 썸머 특제 피로도 30 회복의 비약 NO.1 / price / currency / [{"amount":500,"unit":"세라"}]
seventh_purchase_price: [세라샵]2026 썸머 특제 피로도 30 회복의 비약 NO.7 / price / currency / [{"amount":2000,"unit":"세라"}]</x:v>
      </x:c>
      <x:c r="J20" s="11" t="str">
        <x:v>썸머 특제 피로도 30 회복의 비약</x:v>
      </x:c>
      <x:c r="K20" s="11" t="str">
        <x:v>https://df.nexon.com/community/news/seriashop/626</x:v>
      </x:c>
      <x:c r="L20" s="11" t="str">
        <x:v>draft_complete_pending_human_review</x:v>
      </x:c>
      <x:c r="M20" s="11" t="str">
        <x:v>pending</x:v>
      </x:c>
      <x:c r="N20" s="11"/>
      <x:c r="O20" s="11"/>
      <x:c r="P20" s="11"/>
      <x:c r="Q20" s="20" t="b">
        <x:v>0</x:v>
      </x:c>
      <x:c r="R20" s="11"/>
    </x:row>
    <x:row r="21" ht="64" customHeight="1">
      <x:c r="A21" s="11" t="n">
        <x:v>20</x:v>
      </x:c>
      <x:c r="B21" s="11" t="str">
        <x:v>dnf_event</x:v>
      </x:c>
      <x:c r="C21" s="11" t="str">
        <x:v>multi_requirement</x:v>
      </x:c>
      <x:c r="D21" s="11" t="str">
        <x:v>미카엘라 프리뷰 방송은 언제 열리고, 어디에서 볼 수 있어?</x:v>
      </x:c>
      <x:c r="E21" s="11" t="str">
        <x:v>full_answer</x:v>
      </x:c>
      <x:c r="F21" s="11" t="str">
        <x:v>current</x:v>
      </x:c>
      <x:c r="G21" s="11" t="str">
        <x:v>2026-07-17</x:v>
      </x:c>
      <x:c r="H21" s="11" t="n">
        <x:v>2</x:v>
      </x:c>
      <x:c r="I21" s="11" t="str">
        <x:v>broadcast_at: 미카엘라 프리뷰 방송 / broadcast_at / datetime / ["2026-07-25T19:00:00+09:00"]
channels: 미카엘라 프리뷰 방송 / broadcast_channels / entity_list / ["넥슨 라이브","던파TV"]</x:v>
      </x:c>
      <x:c r="J21" s="11" t="str">
        <x:v>미카엘라 프리뷰 방송 안내</x:v>
      </x:c>
      <x:c r="K21" s="11" t="str">
        <x:v>https://df.nexon.com/pg/michaelapreviewlive</x:v>
      </x:c>
      <x:c r="L21" s="11" t="str">
        <x:v>draft_complete_pending_human_review</x:v>
      </x:c>
      <x:c r="M21" s="11" t="str">
        <x:v>pending</x:v>
      </x:c>
      <x:c r="N21" s="11"/>
      <x:c r="O21" s="11"/>
      <x:c r="P21" s="11"/>
      <x:c r="Q21" s="20" t="b">
        <x:v>0</x:v>
      </x:c>
      <x:c r="R21" s="11"/>
    </x:row>
    <x:row r="22" ht="64" customHeight="1">
      <x:c r="A22" s="11" t="n">
        <x:v>21</x:v>
      </x:c>
      <x:c r="B22" s="11" t="str">
        <x:v>dnf_event</x:v>
      </x:c>
      <x:c r="C22" s="11" t="str">
        <x:v>table_attribute</x:v>
      </x:c>
      <x:c r="D22" s="11" t="str">
        <x:v>파도 X 폭권 패키지의 '운명을 담는 재단사 플래티넘'은 공격력과 버프력을 각각 몇 퍼센트 증폭해?</x:v>
      </x:c>
      <x:c r="E22" s="11" t="str">
        <x:v>full_answer</x:v>
      </x:c>
      <x:c r="F22" s="11" t="str">
        <x:v>current</x:v>
      </x:c>
      <x:c r="G22" s="11" t="str">
        <x:v>2026-07-17</x:v>
      </x:c>
      <x:c r="H22" s="11" t="n">
        <x:v>2</x:v>
      </x:c>
      <x:c r="I22" s="11" t="str">
        <x:v>attack_amplification: 운명을 담는 재단사 플래티넘 / attack_amplification / percentage / [40]
buff_amplification: 운명을 담는 재단사 플래티넘 / buff_amplification / percentage / [10]</x:v>
      </x:c>
      <x:c r="J22" s="11" t="str">
        <x:v>파도 X 폭권 패키지</x:v>
      </x:c>
      <x:c r="K22" s="11" t="str">
        <x:v>https://df.nexon.com/pg/newcharacterpkg</x:v>
      </x:c>
      <x:c r="L22" s="11" t="str">
        <x:v>draft_complete_pending_human_review</x:v>
      </x:c>
      <x:c r="M22" s="11" t="str">
        <x:v>pending</x:v>
      </x:c>
      <x:c r="N22" s="11"/>
      <x:c r="O22" s="11"/>
      <x:c r="P22" s="11"/>
      <x:c r="Q22" s="20" t="b">
        <x:v>0</x:v>
      </x:c>
      <x:c r="R22" s="11"/>
    </x:row>
    <x:row r="23" ht="64" customHeight="1">
      <x:c r="A23" s="11" t="n">
        <x:v>22</x:v>
      </x:c>
      <x:c r="B23" s="11" t="str">
        <x:v>dnf_event</x:v>
      </x:c>
      <x:c r="C23" s="11" t="str">
        <x:v>revision_selection</x:v>
      </x:c>
      <x:c r="D23" s="11" t="str">
        <x:v>2026 나비 무도회 패키지에 포함되는 직업 아바타는 어느 날짜의 라이브 서버 업데이트를 기준으로 했어?</x:v>
      </x:c>
      <x:c r="E23" s="11" t="str">
        <x:v>full_answer</x:v>
      </x:c>
      <x:c r="F23" s="11" t="str">
        <x:v>historical</x:v>
      </x:c>
      <x:c r="G23" s="11" t="str">
        <x:v>2026-07-17</x:v>
      </x:c>
      <x:c r="H23" s="11" t="n">
        <x:v>1</x:v>
      </x:c>
      <x:c r="I23" s="11" t="str">
        <x:v>class_cutoff: 2026 나비 무도회 직업 아바타 / revision_cutoff / date / ["2026-05-28"]</x:v>
      </x:c>
      <x:c r="J23" s="11" t="str">
        <x:v>2026 나비 무도회 아바타 콤보 상자</x:v>
      </x:c>
      <x:c r="K23" s="11" t="str">
        <x:v>https://df.nexon.com/pg/butterflycombo</x:v>
      </x:c>
      <x:c r="L23" s="11" t="str">
        <x:v>draft_complete_pending_human_review</x:v>
      </x:c>
      <x:c r="M23" s="11" t="str">
        <x:v>pending</x:v>
      </x:c>
      <x:c r="N23" s="11"/>
      <x:c r="O23" s="11"/>
      <x:c r="P23" s="11"/>
      <x:c r="Q23" s="20" t="b">
        <x:v>0</x:v>
      </x:c>
      <x:c r="R23" s="11"/>
    </x:row>
    <x:row r="24" ht="64" customHeight="1">
      <x:c r="A24" s="11" t="n">
        <x:v>23</x:v>
      </x:c>
      <x:c r="B24" s="11" t="str">
        <x:v>dnf_event</x:v>
      </x:c>
      <x:c r="C24" s="11" t="str">
        <x:v>unsupported_or_partial</x:v>
      </x:c>
      <x:c r="D24" s="11" t="str">
        <x:v>넥플과 함께! 뉴 페이스! 핫 썸머! 이벤트 퀘스트 보상은 계정당 몇 번 받을 수 있고, 남은 보상 재고는 몇 개야?</x:v>
      </x:c>
      <x:c r="E24" s="11" t="str">
        <x:v>partial_answer</x:v>
      </x:c>
      <x:c r="F24" s="11" t="str">
        <x:v>current</x:v>
      </x:c>
      <x:c r="G24" s="11" t="str">
        <x:v>2026-07-17</x:v>
      </x:c>
      <x:c r="H24" s="11" t="n">
        <x:v>2</x:v>
      </x:c>
      <x:c r="I24" s="11" t="str">
        <x:v>account_limit: 이벤트 퀘스트 보상 / account_receive_limit / number / [1]
remaining_stock: 이벤트 퀘스트 보상 / remaining_stock / number / []</x:v>
      </x:c>
      <x:c r="J24" s="11" t="str">
        <x:v>넥플과 함께! 뉴 페이스! 핫 썸머!</x:v>
      </x:c>
      <x:c r="K24" s="11" t="str">
        <x:v>https://df.nexon.com/pr/newfacewithnxp</x:v>
      </x:c>
      <x:c r="L24" s="11" t="str">
        <x:v>draft_complete_pending_human_review</x:v>
      </x:c>
      <x:c r="M24" s="11" t="str">
        <x:v>pending</x:v>
      </x:c>
      <x:c r="N24" s="11"/>
      <x:c r="O24" s="11"/>
      <x:c r="P24" s="11"/>
      <x:c r="Q24" s="20" t="b">
        <x:v>0</x:v>
      </x:c>
      <x:c r="R24" s="11"/>
    </x:row>
    <x:row r="25" ht="64" customHeight="1">
      <x:c r="A25" s="11" t="n">
        <x:v>24</x:v>
      </x:c>
      <x:c r="B25" s="11" t="str">
        <x:v>dnf_event</x:v>
      </x:c>
      <x:c r="C25" s="11" t="str">
        <x:v>direct_fact</x:v>
      </x:c>
      <x:c r="D25" s="11" t="str">
        <x:v>제국기사 X 인파이터(여) 특별 선물 쿠폰은 계정당 몇 번 입력할 수 있어?</x:v>
      </x:c>
      <x:c r="E25" s="11" t="str">
        <x:v>full_answer</x:v>
      </x:c>
      <x:c r="F25" s="11" t="str">
        <x:v>current</x:v>
      </x:c>
      <x:c r="G25" s="11" t="str">
        <x:v>2026-07-17</x:v>
      </x:c>
      <x:c r="H25" s="11" t="n">
        <x:v>1</x:v>
      </x:c>
      <x:c r="I25" s="11" t="str">
        <x:v>coupon_limit: 제국기사 X 인파이터(여) 특별 선물 쿠폰 / account_input_limit / number / [1]</x:v>
      </x:c>
      <x:c r="J25" s="11" t="str">
        <x:v>제국기사 X 인파이터(여) 특별 선물</x:v>
      </x:c>
      <x:c r="K25" s="11" t="str">
        <x:v>https://df.nexon.com/pr/2026newchargift</x:v>
      </x:c>
      <x:c r="L25" s="11" t="str">
        <x:v>draft_complete_pending_human_review</x:v>
      </x:c>
      <x:c r="M25" s="11" t="str">
        <x:v>pending</x:v>
      </x:c>
      <x:c r="N25" s="11"/>
      <x:c r="O25" s="11"/>
      <x:c r="P25" s="11"/>
      <x:c r="Q25" s="20" t="b">
        <x:v>0</x:v>
      </x:c>
      <x:c r="R25" s="11"/>
    </x:row>
    <x:row r="26" ht="64" customHeight="1">
      <x:c r="A26" s="11" t="n">
        <x:v>25</x:v>
      </x:c>
      <x:c r="B26" s="11" t="str">
        <x:v>dnf_game_guide</x:v>
      </x:c>
      <x:c r="C26" s="11" t="str">
        <x:v>temporal_role</x:v>
      </x:c>
      <x:c r="D26" s="11" t="str">
        <x:v>던파ON 출석체크는 매일 몇 시에 갱신되고, 보상 교환의 1주 기준은 언제야?</x:v>
      </x:c>
      <x:c r="E26" s="11" t="str">
        <x:v>full_answer</x:v>
      </x:c>
      <x:c r="F26" s="11" t="str">
        <x:v>current</x:v>
      </x:c>
      <x:c r="G26" s="11" t="str">
        <x:v>2026-07-17</x:v>
      </x:c>
      <x:c r="H26" s="11" t="n">
        <x:v>2</x:v>
      </x:c>
      <x:c r="I26" s="11" t="str">
        <x:v>daily_reset_time: 던파ON 출석체크 / daily_reset_time / enum / ["06:00"]
weekly_reset_at: 던파ON 보상 교환 / weekly_reset_at / enum / ["매주 목요일 오전 6시"]</x:v>
      </x:c>
      <x:c r="J26" s="11" t="str">
        <x:v>던파ON 포인트 교환소</x:v>
      </x:c>
      <x:c r="K26" s="11" t="str">
        <x:v>https://df.nexon.com/guide?no=1326</x:v>
      </x:c>
      <x:c r="L26" s="11" t="str">
        <x:v>draft_complete_pending_human_review</x:v>
      </x:c>
      <x:c r="M26" s="11" t="str">
        <x:v>pending</x:v>
      </x:c>
      <x:c r="N26" s="11"/>
      <x:c r="O26" s="11"/>
      <x:c r="P26" s="11"/>
      <x:c r="Q26" s="20" t="b">
        <x:v>0</x:v>
      </x:c>
      <x:c r="R26" s="11"/>
    </x:row>
    <x:row r="27" ht="64" customHeight="1">
      <x:c r="A27" s="11" t="n">
        <x:v>26</x:v>
      </x:c>
      <x:c r="B27" s="11" t="str">
        <x:v>dnf_game_guide</x:v>
      </x:c>
      <x:c r="C27" s="11" t="str">
        <x:v>boolean_direction</x:v>
      </x:c>
      <x:c r="D27" s="11" t="str">
        <x:v>다른 채널에 접속한 캐릭터에게 트레이드를 신청할 수 있어?</x:v>
      </x:c>
      <x:c r="E27" s="11" t="str">
        <x:v>full_answer</x:v>
      </x:c>
      <x:c r="F27" s="11" t="str">
        <x:v>current</x:v>
      </x:c>
      <x:c r="G27" s="11" t="str">
        <x:v>2026-07-17</x:v>
      </x:c>
      <x:c r="H27" s="11" t="n">
        <x:v>1</x:v>
      </x:c>
      <x:c r="I27" s="11" t="str">
        <x:v>cross_channel_trade: 트레이드 / can_request_cross_channel / boolean / [false]</x:v>
      </x:c>
      <x:c r="J27" s="11" t="str">
        <x:v>트레이드</x:v>
      </x:c>
      <x:c r="K27" s="11" t="str">
        <x:v>https://df.nexon.com/guide?no=1286</x:v>
      </x:c>
      <x:c r="L27" s="11" t="str">
        <x:v>draft_complete_pending_human_review</x:v>
      </x:c>
      <x:c r="M27" s="11" t="str">
        <x:v>pending</x:v>
      </x:c>
      <x:c r="N27" s="11"/>
      <x:c r="O27" s="11"/>
      <x:c r="P27" s="11"/>
      <x:c r="Q27" s="20" t="b">
        <x:v>0</x:v>
      </x:c>
      <x:c r="R27" s="11"/>
    </x:row>
    <x:row r="28" ht="64" customHeight="1">
      <x:c r="A28" s="11" t="n">
        <x:v>27</x:v>
      </x:c>
      <x:c r="B28" s="11" t="str">
        <x:v>dnf_game_guide</x:v>
      </x:c>
      <x:c r="C28" s="11" t="str">
        <x:v>sibling_relation</x:v>
      </x:c>
      <x:c r="D28" s="11" t="str">
        <x:v>트레이드 기본 수수료와 장비류 아이템의 추가 수수료는 각각 몇 퍼센트야?</x:v>
      </x:c>
      <x:c r="E28" s="11" t="str">
        <x:v>full_answer</x:v>
      </x:c>
      <x:c r="F28" s="11" t="str">
        <x:v>current</x:v>
      </x:c>
      <x:c r="G28" s="11" t="str">
        <x:v>2026-07-17</x:v>
      </x:c>
      <x:c r="H28" s="11" t="n">
        <x:v>2</x:v>
      </x:c>
      <x:c r="I28" s="11" t="str">
        <x:v>base_fee: 트레이드 / base_fee / percentage / [3]
equipment_extra_fee: 장비류 아이템 트레이드 / additional_fee / percentage / [2]</x:v>
      </x:c>
      <x:c r="J28" s="11" t="str">
        <x:v>트레이드</x:v>
      </x:c>
      <x:c r="K28" s="11" t="str">
        <x:v>https://df.nexon.com/guide?no=1286</x:v>
      </x:c>
      <x:c r="L28" s="11" t="str">
        <x:v>draft_complete_pending_human_review</x:v>
      </x:c>
      <x:c r="M28" s="11" t="str">
        <x:v>pending</x:v>
      </x:c>
      <x:c r="N28" s="11"/>
      <x:c r="O28" s="11"/>
      <x:c r="P28" s="11"/>
      <x:c r="Q28" s="20" t="b">
        <x:v>0</x:v>
      </x:c>
      <x:c r="R28" s="11"/>
    </x:row>
    <x:row r="29" ht="64" customHeight="1">
      <x:c r="A29" s="11" t="n">
        <x:v>28</x:v>
      </x:c>
      <x:c r="B29" s="11" t="str">
        <x:v>dnf_game_guide</x:v>
      </x:c>
      <x:c r="C29" s="11" t="str">
        <x:v>multi_requirement</x:v>
      </x:c>
      <x:c r="D29" s="11" t="str">
        <x:v>인형사 전문직업을 선택하려면 캐릭터 레벨과 무색 큐브 조각이 각각 얼마나 필요해?</x:v>
      </x:c>
      <x:c r="E29" s="11" t="str">
        <x:v>full_answer</x:v>
      </x:c>
      <x:c r="F29" s="11" t="str">
        <x:v>current</x:v>
      </x:c>
      <x:c r="G29" s="11" t="str">
        <x:v>2026-07-17</x:v>
      </x:c>
      <x:c r="H29" s="11" t="n">
        <x:v>2</x:v>
      </x:c>
      <x:c r="I29" s="11" t="str">
        <x:v>required_level: 인형사 전문직업 / required_character_level / number / [20]
cube_quantity: 인형사 전문직업 / required_colorless_cube_fragments / number / [100]</x:v>
      </x:c>
      <x:c r="J29" s="11" t="str">
        <x:v>인형사</x:v>
      </x:c>
      <x:c r="K29" s="11" t="str">
        <x:v>https://df.nexon.com/guide?no=1270</x:v>
      </x:c>
      <x:c r="L29" s="11" t="str">
        <x:v>draft_complete_pending_human_review</x:v>
      </x:c>
      <x:c r="M29" s="11" t="str">
        <x:v>pending</x:v>
      </x:c>
      <x:c r="N29" s="11"/>
      <x:c r="O29" s="11"/>
      <x:c r="P29" s="11"/>
      <x:c r="Q29" s="20" t="b">
        <x:v>0</x:v>
      </x:c>
      <x:c r="R29" s="11"/>
    </x:row>
    <x:row r="30" ht="64" customHeight="1">
      <x:c r="A30" s="11" t="n">
        <x:v>29</x:v>
      </x:c>
      <x:c r="B30" s="11" t="str">
        <x:v>dnf_game_guide</x:v>
      </x:c>
      <x:c r="C30" s="11" t="str">
        <x:v>table_attribute</x:v>
      </x:c>
      <x:c r="D30" s="11" t="str">
        <x:v>화면 설명의 ② 항목은 무엇을 보여주고 어떤 키로 조작해?</x:v>
      </x:c>
      <x:c r="E30" s="11" t="str">
        <x:v>full_answer</x:v>
      </x:c>
      <x:c r="F30" s="11" t="str">
        <x:v>current</x:v>
      </x:c>
      <x:c r="G30" s="11" t="str">
        <x:v>2026-07-17</x:v>
      </x:c>
      <x:c r="H30" s="11" t="n">
        <x:v>2</x:v>
      </x:c>
      <x:c r="I30" s="11" t="str">
        <x:v>displayed_information: 화면 설명 ② / displayed_information / text / ["캐릭터에게 적용 중인 효과"]
control_keys: 화면 설명 ② / control_keys / text / ["키보드 1~6"]</x:v>
      </x:c>
      <x:c r="J30" s="11" t="str">
        <x:v>화면 설명</x:v>
      </x:c>
      <x:c r="K30" s="11" t="str">
        <x:v>https://df.nexon.com/guide?no=1292</x:v>
      </x:c>
      <x:c r="L30" s="11" t="str">
        <x:v>draft_complete_pending_human_review</x:v>
      </x:c>
      <x:c r="M30" s="11" t="str">
        <x:v>pending</x:v>
      </x:c>
      <x:c r="N30" s="11"/>
      <x:c r="O30" s="11"/>
      <x:c r="P30" s="11"/>
      <x:c r="Q30" s="20" t="b">
        <x:v>0</x:v>
      </x:c>
      <x:c r="R30" s="11"/>
    </x:row>
    <x:row r="31" ht="64" customHeight="1">
      <x:c r="A31" s="11" t="n">
        <x:v>30</x:v>
      </x:c>
      <x:c r="B31" s="11" t="str">
        <x:v>dnf_game_guide</x:v>
      </x:c>
      <x:c r="C31" s="11" t="str">
        <x:v>revision_selection</x:v>
      </x:c>
      <x:c r="D31" s="11" t="str">
        <x:v>현재 장비 시뮬레이터 가이드에서 지원하는 장비 레벨은 무엇이야?</x:v>
      </x:c>
      <x:c r="E31" s="11" t="str">
        <x:v>full_answer</x:v>
      </x:c>
      <x:c r="F31" s="11" t="str">
        <x:v>current</x:v>
      </x:c>
      <x:c r="G31" s="11" t="str">
        <x:v>2026-07-17</x:v>
      </x:c>
      <x:c r="H31" s="11" t="n">
        <x:v>1</x:v>
      </x:c>
      <x:c r="I31" s="11" t="str">
        <x:v>supported_levels: 장비 시뮬레이터 / supported_equipment_levels / entity_list / [110,115]</x:v>
      </x:c>
      <x:c r="J31" s="11" t="str">
        <x:v>[시스템] 장비 시뮬레이터</x:v>
      </x:c>
      <x:c r="K31" s="11" t="str">
        <x:v>https://df.nexon.com/guide?no=1494</x:v>
      </x:c>
      <x:c r="L31" s="11" t="str">
        <x:v>draft_complete_pending_human_review</x:v>
      </x:c>
      <x:c r="M31" s="11" t="str">
        <x:v>pending</x:v>
      </x:c>
      <x:c r="N31" s="11"/>
      <x:c r="O31" s="11"/>
      <x:c r="P31" s="11"/>
      <x:c r="Q31" s="20" t="b">
        <x:v>0</x:v>
      </x:c>
      <x:c r="R31" s="11"/>
    </x:row>
    <x:row r="32" ht="64" customHeight="1">
      <x:c r="A32" s="11" t="n">
        <x:v>31</x:v>
      </x:c>
      <x:c r="B32" s="11" t="str">
        <x:v>dnf_game_guide</x:v>
      </x:c>
      <x:c r="C32" s="11" t="str">
        <x:v>unsupported_or_partial</x:v>
      </x:c>
      <x:c r="D32" s="11" t="str">
        <x:v>아바타는 총 몇 부위로 구성되고, 아바타 프리셋은 최대 몇 개까지 저장할 수 있어?</x:v>
      </x:c>
      <x:c r="E32" s="11" t="str">
        <x:v>partial_answer</x:v>
      </x:c>
      <x:c r="F32" s="11" t="str">
        <x:v>current</x:v>
      </x:c>
      <x:c r="G32" s="11" t="str">
        <x:v>2026-07-17</x:v>
      </x:c>
      <x:c r="H32" s="11" t="n">
        <x:v>2</x:v>
      </x:c>
      <x:c r="I32" s="11" t="str">
        <x:v>part_count: 아바타 / part_count / number / [11]
preset_limit: 아바타 프리셋 / maximum_saved_presets / number / []</x:v>
      </x:c>
      <x:c r="J32" s="11" t="str">
        <x:v>아바타</x:v>
      </x:c>
      <x:c r="K32" s="11" t="str">
        <x:v>https://df.nexon.com/guide?no=1280</x:v>
      </x:c>
      <x:c r="L32" s="11" t="str">
        <x:v>draft_complete_pending_human_review</x:v>
      </x:c>
      <x:c r="M32" s="11" t="str">
        <x:v>pending</x:v>
      </x:c>
      <x:c r="N32" s="11"/>
      <x:c r="O32" s="11"/>
      <x:c r="P32" s="11"/>
      <x:c r="Q32" s="20" t="b">
        <x:v>0</x:v>
      </x:c>
      <x:c r="R32" s="11"/>
    </x:row>
    <x:row r="33" ht="64" customHeight="1">
      <x:c r="A33" s="11" t="n">
        <x:v>32</x:v>
      </x:c>
      <x:c r="B33" s="11" t="str">
        <x:v>dnf_game_guide</x:v>
      </x:c>
      <x:c r="C33" s="11" t="str">
        <x:v>direct_fact</x:v>
      </x:c>
      <x:c r="D33" s="11" t="str">
        <x:v>스킬별 제압력 수치는 어디에서 확인할 수 있어?</x:v>
      </x:c>
      <x:c r="E33" s="11" t="str">
        <x:v>full_answer</x:v>
      </x:c>
      <x:c r="F33" s="11" t="str">
        <x:v>current</x:v>
      </x:c>
      <x:c r="G33" s="11" t="str">
        <x:v>2026-07-17</x:v>
      </x:c>
      <x:c r="H33" s="11" t="n">
        <x:v>1</x:v>
      </x:c>
      <x:c r="I33" s="11" t="str">
        <x:v>location: 스킬별 제압력 수치 / lookup_location / text / ["스킬 정보(툴팁)"]</x:v>
      </x:c>
      <x:c r="J33" s="11" t="str">
        <x:v>[전투] 제압</x:v>
      </x:c>
      <x:c r="K33" s="11" t="str">
        <x:v>https://df.nexon.com/guide?no=1526</x:v>
      </x:c>
      <x:c r="L33" s="11" t="str">
        <x:v>draft_complete_pending_human_review</x:v>
      </x:c>
      <x:c r="M33" s="11" t="str">
        <x:v>pending</x:v>
      </x:c>
      <x:c r="N33" s="11"/>
      <x:c r="O33" s="11"/>
      <x:c r="P33" s="11"/>
      <x:c r="Q33" s="20" t="b">
        <x:v>0</x:v>
      </x:c>
      <x:c r="R33" s="11"/>
    </x:row>
    <x:row r="34" ht="64" customHeight="1">
      <x:c r="A34" s="11" t="n">
        <x:v>33</x:v>
      </x:c>
      <x:c r="B34" s="11" t="str">
        <x:v>dnf_faq</x:v>
      </x:c>
      <x:c r="C34" s="11" t="str">
        <x:v>temporal_role</x:v>
      </x:c>
      <x:c r="D34" s="11" t="str">
        <x:v>세라 아이템은 구매 후 며칠 이내에 청약철회할 수 있어?</x:v>
      </x:c>
      <x:c r="E34" s="11" t="str">
        <x:v>full_answer</x:v>
      </x:c>
      <x:c r="F34" s="11" t="str">
        <x:v>current</x:v>
      </x:c>
      <x:c r="G34" s="11" t="str">
        <x:v>2026-07-17</x:v>
      </x:c>
      <x:c r="H34" s="11" t="n">
        <x:v>1</x:v>
      </x:c>
      <x:c r="I34" s="11" t="str">
        <x:v>withdrawal_period: 세라 아이템 청약철회 / withdrawal_period_days / number / [7]</x:v>
      </x:c>
      <x:c r="J34" s="11" t="str">
        <x:v>[세라 아이템 청약철회] 청약철회란 무엇인가요.</x:v>
      </x:c>
      <x:c r="K34" s="11" t="str">
        <x:v>https://df.nexon.com/customer/faq?faq_no=4950</x:v>
      </x:c>
      <x:c r="L34" s="11" t="str">
        <x:v>draft_complete_pending_human_review</x:v>
      </x:c>
      <x:c r="M34" s="11" t="str">
        <x:v>pending</x:v>
      </x:c>
      <x:c r="N34" s="11"/>
      <x:c r="O34" s="11"/>
      <x:c r="P34" s="11"/>
      <x:c r="Q34" s="20" t="b">
        <x:v>0</x:v>
      </x:c>
      <x:c r="R34" s="11"/>
    </x:row>
    <x:row r="35" ht="64" customHeight="1">
      <x:c r="A35" s="11" t="n">
        <x:v>34</x:v>
      </x:c>
      <x:c r="B35" s="11" t="str">
        <x:v>dnf_faq</x:v>
      </x:c>
      <x:c r="C35" s="11" t="str">
        <x:v>boolean_direction</x:v>
      </x:c>
      <x:c r="D35" s="11" t="str">
        <x:v>휴대폰이 정지되기 전에 모바일 OTP를 설치해 사용 중이었다면 정지 후에도 OTP를 쓸 수 있어?</x:v>
      </x:c>
      <x:c r="E35" s="11" t="str">
        <x:v>full_answer</x:v>
      </x:c>
      <x:c r="F35" s="11" t="str">
        <x:v>current</x:v>
      </x:c>
      <x:c r="G35" s="11" t="str">
        <x:v>2026-07-17</x:v>
      </x:c>
      <x:c r="H35" s="11" t="n">
        <x:v>1</x:v>
      </x:c>
      <x:c r="I35" s="11" t="str">
        <x:v>otp_after_suspension: 모바일 OTP / usable_after_phone_suspension / boolean / [true]</x:v>
      </x:c>
      <x:c r="J35" s="11" t="str">
        <x:v>[네오플OTP] 휴대폰이 정지되면 OTP를 사용할 수 없나요?</x:v>
      </x:c>
      <x:c r="K35" s="11" t="str">
        <x:v>https://df.nexon.com/customer/faq?faq_no=4901</x:v>
      </x:c>
      <x:c r="L35" s="11" t="str">
        <x:v>draft_complete_pending_human_review</x:v>
      </x:c>
      <x:c r="M35" s="11" t="str">
        <x:v>pending</x:v>
      </x:c>
      <x:c r="N35" s="11"/>
      <x:c r="O35" s="11"/>
      <x:c r="P35" s="11"/>
      <x:c r="Q35" s="20" t="b">
        <x:v>0</x:v>
      </x:c>
      <x:c r="R35" s="11"/>
    </x:row>
    <x:row r="36" ht="64" customHeight="1">
      <x:c r="A36" s="11" t="n">
        <x:v>35</x:v>
      </x:c>
      <x:c r="B36" s="11" t="str">
        <x:v>dnf_faq</x:v>
      </x:c>
      <x:c r="C36" s="11" t="str">
        <x:v>sibling_relation</x:v>
      </x:c>
      <x:c r="D36" s="11" t="str">
        <x:v>히든 레어 아바타를 같은 계정 캐릭터와 다른 계정 캐릭터에게 넘길 때 교환불가 타입으로 바뀌는지 각각 알려줘.</x:v>
      </x:c>
      <x:c r="E36" s="11" t="str">
        <x:v>full_answer</x:v>
      </x:c>
      <x:c r="F36" s="11" t="str">
        <x:v>current</x:v>
      </x:c>
      <x:c r="G36" s="11" t="str">
        <x:v>2026-07-17</x:v>
      </x:c>
      <x:c r="H36" s="11" t="n">
        <x:v>2</x:v>
      </x:c>
      <x:c r="I36" s="11" t="str">
        <x:v>same_account_trade_type: 히든 레어 아바타 동일 계정 이동 / changes_to_untradeable / boolean / [false]
other_account_trade_type: 히든 레어 아바타 다른 계정 이동 / changes_to_untradeable / boolean / [true]</x:v>
      </x:c>
      <x:c r="J36" s="11" t="str">
        <x:v>[게임 이용] 히든 레어 아바타를 이동시킬 경우 교환이 불가능한가요?</x:v>
      </x:c>
      <x:c r="K36" s="11" t="str">
        <x:v>https://df.nexon.com/customer/faq?faq_no=5001</x:v>
      </x:c>
      <x:c r="L36" s="11" t="str">
        <x:v>draft_complete_pending_human_review</x:v>
      </x:c>
      <x:c r="M36" s="11" t="str">
        <x:v>pending</x:v>
      </x:c>
      <x:c r="N36" s="11"/>
      <x:c r="O36" s="11"/>
      <x:c r="P36" s="11"/>
      <x:c r="Q36" s="20" t="b">
        <x:v>0</x:v>
      </x:c>
      <x:c r="R36" s="11"/>
    </x:row>
    <x:row r="37" ht="64" customHeight="1">
      <x:c r="A37" s="11" t="n">
        <x:v>36</x:v>
      </x:c>
      <x:c r="B37" s="11" t="str">
        <x:v>dnf_faq</x:v>
      </x:c>
      <x:c r="C37" s="11" t="str">
        <x:v>multi_requirement</x:v>
      </x:c>
      <x:c r="D37" s="11" t="str">
        <x:v>지정PC 등록과 삭제는 각각 어디에서 할 수 있어?</x:v>
      </x:c>
      <x:c r="E37" s="11" t="str">
        <x:v>full_answer</x:v>
      </x:c>
      <x:c r="F37" s="11" t="str">
        <x:v>current</x:v>
      </x:c>
      <x:c r="G37" s="11" t="str">
        <x:v>2026-07-17</x:v>
      </x:c>
      <x:c r="H37" s="11" t="n">
        <x:v>2</x:v>
      </x:c>
      <x:c r="I37" s="11" t="str">
        <x:v>registration_location: 지정PC / registration_location / enum / ["게임 내"]
deletion_location: 지정PC / deletion_location / entity_list / ["게임","웹"]</x:v>
      </x:c>
      <x:c r="J37" s="11" t="str">
        <x:v>[지정PC] 지정PC에 대해 궁금한 점이 있어요.</x:v>
      </x:c>
      <x:c r="K37" s="11" t="str">
        <x:v>https://df.nexon.com/customer/faq?faq_no=5630</x:v>
      </x:c>
      <x:c r="L37" s="11" t="str">
        <x:v>draft_complete_pending_human_review</x:v>
      </x:c>
      <x:c r="M37" s="11" t="str">
        <x:v>pending</x:v>
      </x:c>
      <x:c r="N37" s="11"/>
      <x:c r="O37" s="11"/>
      <x:c r="P37" s="11"/>
      <x:c r="Q37" s="20" t="b">
        <x:v>0</x:v>
      </x:c>
      <x:c r="R37" s="11"/>
    </x:row>
    <x:row r="38" ht="64" customHeight="1">
      <x:c r="A38" s="11" t="n">
        <x:v>37</x:v>
      </x:c>
      <x:c r="B38" s="11" t="str">
        <x:v>dnf_faq</x:v>
      </x:c>
      <x:c r="C38" s="11" t="str">
        <x:v>table_attribute</x:v>
      </x:c>
      <x:c r="D38" s="11" t="str">
        <x:v>은 금고의 저장 칸 수와 가격은 얼마야?</x:v>
      </x:c>
      <x:c r="E38" s="11" t="str">
        <x:v>full_answer</x:v>
      </x:c>
      <x:c r="F38" s="11" t="str">
        <x:v>current</x:v>
      </x:c>
      <x:c r="G38" s="11" t="str">
        <x:v>2026-07-17</x:v>
      </x:c>
      <x:c r="H38" s="11" t="n">
        <x:v>2</x:v>
      </x:c>
      <x:c r="I38" s="11" t="str">
        <x:v>slot_count: 은 금고 / slot_count / number / [40]
price: 은 금고 / price / currency / [{"amount":400,"unit":"세라"}]</x:v>
      </x:c>
      <x:c r="J38" s="11" t="str">
        <x:v>[게임 이용] 금고 업그레이드 비용 및 단계별 슬롯 수가 궁금해요!</x:v>
      </x:c>
      <x:c r="K38" s="11" t="str">
        <x:v>https://df.nexon.com/customer/faq?faq_no=4994</x:v>
      </x:c>
      <x:c r="L38" s="11" t="str">
        <x:v>draft_complete_pending_human_review</x:v>
      </x:c>
      <x:c r="M38" s="11" t="str">
        <x:v>pending</x:v>
      </x:c>
      <x:c r="N38" s="11"/>
      <x:c r="O38" s="11"/>
      <x:c r="P38" s="11"/>
      <x:c r="Q38" s="20" t="b">
        <x:v>0</x:v>
      </x:c>
      <x:c r="R38" s="11"/>
    </x:row>
    <x:row r="39" ht="64" customHeight="1">
      <x:c r="A39" s="11" t="n">
        <x:v>38</x:v>
      </x:c>
      <x:c r="B39" s="11" t="str">
        <x:v>dnf_faq</x:v>
      </x:c>
      <x:c r="C39" s="11" t="str">
        <x:v>revision_selection</x:v>
      </x:c>
      <x:c r="D39" s="11" t="str">
        <x:v>고블린패드 신규 발급은 언제 중단됐고, 기존 이용자는 재발급할 수 있어?</x:v>
      </x:c>
      <x:c r="E39" s="11" t="str">
        <x:v>full_answer</x:v>
      </x:c>
      <x:c r="F39" s="11" t="str">
        <x:v>historical</x:v>
      </x:c>
      <x:c r="G39" s="11" t="str">
        <x:v>2026-07-17</x:v>
      </x:c>
      <x:c r="H39" s="11" t="n">
        <x:v>2</x:v>
      </x:c>
      <x:c r="I39" s="11" t="str">
        <x:v>new_issue_stopped_at: 고블린패드 신규 발급 / stopped_at / date / ["2020-06-25"]
reissue_existing_user: 고블린패드 기존 이용자 / can_reissue / boolean / [true]</x:v>
      </x:c>
      <x:c r="J39" s="11" t="str">
        <x:v>[고블린패드] 고블린패드 신규 가입이 불가능한가요?</x:v>
      </x:c>
      <x:c r="K39" s="11" t="str">
        <x:v>https://df.nexon.com/customer/faq?faq_no=4923</x:v>
      </x:c>
      <x:c r="L39" s="11" t="str">
        <x:v>draft_complete_pending_human_review</x:v>
      </x:c>
      <x:c r="M39" s="11" t="str">
        <x:v>pending</x:v>
      </x:c>
      <x:c r="N39" s="11"/>
      <x:c r="O39" s="11"/>
      <x:c r="P39" s="11"/>
      <x:c r="Q39" s="20" t="b">
        <x:v>0</x:v>
      </x:c>
      <x:c r="R39" s="11"/>
    </x:row>
    <x:row r="40" ht="64" customHeight="1">
      <x:c r="A40" s="11" t="n">
        <x:v>39</x:v>
      </x:c>
      <x:c r="B40" s="11" t="str">
        <x:v>dnf_faq</x:v>
      </x:c>
      <x:c r="C40" s="11" t="str">
        <x:v>unsupported_or_partial</x:v>
      </x:c>
      <x:c r="D40" s="11" t="str">
        <x:v>네이버 로그인 계정 이벤트 혜택 1·2의 Npay 포인트는 언제 적립되고, 정확히 몇 포인트가 적립돼?</x:v>
      </x:c>
      <x:c r="E40" s="11" t="str">
        <x:v>partial_answer</x:v>
      </x:c>
      <x:c r="F40" s="11" t="str">
        <x:v>current</x:v>
      </x:c>
      <x:c r="G40" s="11" t="str">
        <x:v>2026-07-17</x:v>
      </x:c>
      <x:c r="H40" s="11" t="n">
        <x:v>2</x:v>
      </x:c>
      <x:c r="I40" s="11" t="str">
        <x:v>credit_timing: 네이버 로그인 계정 이벤트 혜택 1·2 Npay 포인트 / credited_after / number / [7]
credit_amount: 네이버 로그인 계정 이벤트 혜택 1·2 Npay 포인트 / credit_amount / number / []</x:v>
      </x:c>
      <x:c r="J40" s="11" t="str">
        <x:v>[네이버 로그인 계정 이벤트] [혜택 1,2] 계정 변경 후 Npay 결제를 진행했는데 포인트가 들어오지 않아요.</x:v>
      </x:c>
      <x:c r="K40" s="11" t="str">
        <x:v>https://df.nexon.com/customer/faq?faq_no=5951</x:v>
      </x:c>
      <x:c r="L40" s="11" t="str">
        <x:v>draft_complete_pending_human_review</x:v>
      </x:c>
      <x:c r="M40" s="11" t="str">
        <x:v>pending</x:v>
      </x:c>
      <x:c r="N40" s="11"/>
      <x:c r="O40" s="11"/>
      <x:c r="P40" s="11"/>
      <x:c r="Q40" s="20" t="b">
        <x:v>0</x:v>
      </x:c>
      <x:c r="R40" s="11"/>
    </x:row>
    <x:row r="41" ht="64" customHeight="1">
      <x:c r="A41" s="11" t="n">
        <x:v>40</x:v>
      </x:c>
      <x:c r="B41" s="11" t="str">
        <x:v>dnf_faq</x:v>
      </x:c>
      <x:c r="C41" s="11" t="str">
        <x:v>direct_fact</x:v>
      </x:c>
      <x:c r="D41" s="11" t="str">
        <x:v>이벤트로 받은 세라 또는 넥슨 쿠폰은 어디에서 사용할 수 있어?</x:v>
      </x:c>
      <x:c r="E41" s="11" t="str">
        <x:v>full_answer</x:v>
      </x:c>
      <x:c r="F41" s="11" t="str">
        <x:v>current</x:v>
      </x:c>
      <x:c r="G41" s="11" t="str">
        <x:v>2026-07-17</x:v>
      </x:c>
      <x:c r="H41" s="11" t="n">
        <x:v>1</x:v>
      </x:c>
      <x:c r="I41" s="11" t="str">
        <x:v>redeem_location: 세라/넥슨 쿠폰 / redeem_location / text / ["던전앤파이터 홈페이지"]</x:v>
      </x:c>
      <x:c r="J41" s="11" t="str">
        <x:v>[이용 문의] 이벤트로 받은 세라 쿠폰이 입력되지 않아요.</x:v>
      </x:c>
      <x:c r="K41" s="11" t="str">
        <x:v>https://df.nexon.com/customer/faq?faq_no=2785</x:v>
      </x:c>
      <x:c r="L41" s="11" t="str">
        <x:v>draft_complete_pending_human_review</x:v>
      </x:c>
      <x:c r="M41" s="11" t="str">
        <x:v>pending</x:v>
      </x:c>
      <x:c r="N41" s="11"/>
      <x:c r="O41" s="11"/>
      <x:c r="P41" s="11"/>
      <x:c r="Q41" s="20" t="b">
        <x:v>0</x:v>
      </x:c>
      <x:c r="R41" s="11"/>
    </x:row>
    <x:row r="42" ht="64" customHeight="1">
      <x:c r="A42" s="11" t="n">
        <x:v>41</x:v>
      </x:c>
      <x:c r="B42" s="11" t="str">
        <x:v>dnf_account_policy</x:v>
      </x:c>
      <x:c r="C42" s="11" t="str">
        <x:v>temporal_role</x:v>
      </x:c>
      <x:c r="D42" s="11" t="str">
        <x:v>현재 던전앤파이터 운영정책은 언제부터 시행됐어?</x:v>
      </x:c>
      <x:c r="E42" s="11" t="str">
        <x:v>full_answer</x:v>
      </x:c>
      <x:c r="F42" s="11" t="str">
        <x:v>current</x:v>
      </x:c>
      <x:c r="G42" s="11" t="str">
        <x:v>2026-07-17</x:v>
      </x:c>
      <x:c r="H42" s="11" t="n">
        <x:v>1</x:v>
      </x:c>
      <x:c r="I42" s="11" t="str">
        <x:v>effective_date: 던전앤파이터 운영정책 / effective_at / date / ["2026-03-15"]</x:v>
      </x:c>
      <x:c r="J42" s="11" t="str">
        <x:v>던전앤파이터 운영정책 (2026-03-15 시행)</x:v>
      </x:c>
      <x:c r="K42" s="11" t="str">
        <x:v>https://df.nexon.com/customer/policy/home?revision=2026-03-15&amp;type=1</x:v>
      </x:c>
      <x:c r="L42" s="11" t="str">
        <x:v>draft_complete_pending_human_review</x:v>
      </x:c>
      <x:c r="M42" s="11" t="str">
        <x:v>pending</x:v>
      </x:c>
      <x:c r="N42" s="11"/>
      <x:c r="O42" s="11"/>
      <x:c r="P42" s="11"/>
      <x:c r="Q42" s="20" t="b">
        <x:v>0</x:v>
      </x:c>
      <x:c r="R42" s="11" t="str">
        <x:v>운영정책은 현재 공식 revision이 한 개뿐이므로 parent 재사용을 허용하되 신규 관계와 질문만 사용합니다.</x:v>
      </x:c>
    </x:row>
    <x:row r="43" ht="64" customHeight="1">
      <x:c r="A43" s="11" t="n">
        <x:v>42</x:v>
      </x:c>
      <x:c r="B43" s="11" t="str">
        <x:v>dnf_account_policy</x:v>
      </x:c>
      <x:c r="C43" s="11" t="str">
        <x:v>boolean_direction</x:v>
      </x:c>
      <x:c r="D43" s="11" t="str">
        <x:v>버그를 발견한 고객이 제보하지 않고 다른 사람에게 퍼뜨려도 운영정책상 괜찮아?</x:v>
      </x:c>
      <x:c r="E43" s="11" t="str">
        <x:v>full_answer</x:v>
      </x:c>
      <x:c r="F43" s="11" t="str">
        <x:v>current</x:v>
      </x:c>
      <x:c r="G43" s="11" t="str">
        <x:v>2026-07-17</x:v>
      </x:c>
      <x:c r="H43" s="11" t="n">
        <x:v>1</x:v>
      </x:c>
      <x:c r="I43" s="11" t="str">
        <x:v>bug_spread_allowed: 버그 발견 고객 / may_spread_without_reporting / boolean / [false]</x:v>
      </x:c>
      <x:c r="J43" s="11" t="str">
        <x:v>던전앤파이터 운영정책 (2026-03-15 시행)</x:v>
      </x:c>
      <x:c r="K43" s="11" t="str">
        <x:v>https://df.nexon.com/customer/policy/home?revision=2026-03-15&amp;type=1</x:v>
      </x:c>
      <x:c r="L43" s="11" t="str">
        <x:v>draft_complete_pending_human_review</x:v>
      </x:c>
      <x:c r="M43" s="11" t="str">
        <x:v>pending</x:v>
      </x:c>
      <x:c r="N43" s="11"/>
      <x:c r="O43" s="11"/>
      <x:c r="P43" s="11"/>
      <x:c r="Q43" s="20" t="b">
        <x:v>0</x:v>
      </x:c>
      <x:c r="R43" s="11" t="str">
        <x:v>운영정책은 현재 공식 revision이 한 개뿐이므로 parent 재사용을 허용하되 신규 관계와 질문만 사용합니다.</x:v>
      </x:c>
    </x:row>
    <x:row r="44" ht="64" customHeight="1">
      <x:c r="A44" s="11" t="n">
        <x:v>43</x:v>
      </x:c>
      <x:c r="B44" s="11" t="str">
        <x:v>dnf_account_policy</x:v>
      </x:c>
      <x:c r="C44" s="11" t="str">
        <x:v>sibling_relation</x:v>
      </x:c>
      <x:c r="D44" s="11" t="str">
        <x:v>고객 간 사적 분쟁에 회사가 개입하는 원칙과 예외는 무엇이야?</x:v>
      </x:c>
      <x:c r="E44" s="11" t="str">
        <x:v>full_answer</x:v>
      </x:c>
      <x:c r="F44" s="11" t="str">
        <x:v>current</x:v>
      </x:c>
      <x:c r="G44" s="11" t="str">
        <x:v>2026-07-17</x:v>
      </x:c>
      <x:c r="H44" s="11" t="n">
        <x:v>2</x:v>
      </x:c>
      <x:c r="I44" s="11" t="str">
        <x:v>general_rule: 고객 간 사적 분쟁 / company_intervention_rule / text / ["개입하지 않는 것을 원칙"]
exception: 고객 간 사적 분쟁 / intervention_exception / text / ["불특정 다수의 고객에게 피해를 주는 경우"]</x:v>
      </x:c>
      <x:c r="J44" s="11" t="str">
        <x:v>던전앤파이터 운영정책 (2026-03-15 시행)</x:v>
      </x:c>
      <x:c r="K44" s="11" t="str">
        <x:v>https://df.nexon.com/customer/policy/home?revision=2026-03-15&amp;type=1</x:v>
      </x:c>
      <x:c r="L44" s="11" t="str">
        <x:v>draft_complete_pending_human_review</x:v>
      </x:c>
      <x:c r="M44" s="11" t="str">
        <x:v>pending</x:v>
      </x:c>
      <x:c r="N44" s="11"/>
      <x:c r="O44" s="11"/>
      <x:c r="P44" s="11"/>
      <x:c r="Q44" s="20" t="b">
        <x:v>0</x:v>
      </x:c>
      <x:c r="R44" s="11" t="str">
        <x:v>운영정책은 현재 공식 revision이 한 개뿐이므로 parent 재사용을 허용하되 신규 관계와 질문만 사용합니다.</x:v>
      </x:c>
    </x:row>
    <x:row r="45" ht="64" customHeight="1">
      <x:c r="A45" s="11" t="n">
        <x:v>44</x:v>
      </x:c>
      <x:c r="B45" s="11" t="str">
        <x:v>dnf_account_policy</x:v>
      </x:c>
      <x:c r="C45" s="11" t="str">
        <x:v>multi_requirement</x:v>
      </x:c>
      <x:c r="D45" s="11" t="str">
        <x:v>운영정책에서 고객이 ID를 보호하기 위해 해야 하는 두 가지 의무는 뭐야?</x:v>
      </x:c>
      <x:c r="E45" s="11" t="str">
        <x:v>full_answer</x:v>
      </x:c>
      <x:c r="F45" s="11" t="str">
        <x:v>current</x:v>
      </x:c>
      <x:c r="G45" s="11" t="str">
        <x:v>2026-07-17</x:v>
      </x:c>
      <x:c r="H45" s="11" t="n">
        <x:v>2</x:v>
      </x:c>
      <x:c r="I45" s="11" t="str">
        <x:v>security_service: 고객 ID 보호 / security_service_obligation / text / ["회사가 제공하는 보안서비스 이용"]
credential_secrecy: 고객 ID 보호 / credential_secrecy_obligation / text / ["ID와 비밀번호가 타인에게 노출되지 않도록 관리"]</x:v>
      </x:c>
      <x:c r="J45" s="11" t="str">
        <x:v>던전앤파이터 운영정책 (2026-03-15 시행)</x:v>
      </x:c>
      <x:c r="K45" s="11" t="str">
        <x:v>https://df.nexon.com/customer/policy/home?revision=2026-03-15&amp;type=1</x:v>
      </x:c>
      <x:c r="L45" s="11" t="str">
        <x:v>draft_complete_pending_human_review</x:v>
      </x:c>
      <x:c r="M45" s="11" t="str">
        <x:v>pending</x:v>
      </x:c>
      <x:c r="N45" s="11"/>
      <x:c r="O45" s="11"/>
      <x:c r="P45" s="11"/>
      <x:c r="Q45" s="20" t="b">
        <x:v>0</x:v>
      </x:c>
      <x:c r="R45" s="11" t="str">
        <x:v>운영정책은 현재 공식 revision이 한 개뿐이므로 parent 재사용을 허용하되 신규 관계와 질문만 사용합니다.</x:v>
      </x:c>
    </x:row>
    <x:row r="46" ht="64" customHeight="1">
      <x:c r="A46" s="11" t="n">
        <x:v>45</x:v>
      </x:c>
      <x:c r="B46" s="11" t="str">
        <x:v>dnf_account_policy</x:v>
      </x:c>
      <x:c r="C46" s="11" t="str">
        <x:v>table_attribute</x:v>
      </x:c>
      <x:c r="D46" s="11" t="str">
        <x:v>운영자나 직원을 사칭했을 때 1차와 4차 이용제한 기간은 각각 얼마야?</x:v>
      </x:c>
      <x:c r="E46" s="11" t="str">
        <x:v>full_answer</x:v>
      </x:c>
      <x:c r="F46" s="11" t="str">
        <x:v>current</x:v>
      </x:c>
      <x:c r="G46" s="11" t="str">
        <x:v>2026-07-17</x:v>
      </x:c>
      <x:c r="H46" s="11" t="n">
        <x:v>2</x:v>
      </x:c>
      <x:c r="I46" s="11" t="str">
        <x:v>first_sanction: 운영자/직원 사칭 / first_sanction / text / ["100일 게임 이용제한"]
fourth_sanction: 운영자/직원 사칭 / fourth_sanction / text / ["영구 게임 이용제한"]</x:v>
      </x:c>
      <x:c r="J46" s="11" t="str">
        <x:v>던전앤파이터 운영정책 (2026-03-15 시행)</x:v>
      </x:c>
      <x:c r="K46" s="11" t="str">
        <x:v>https://df.nexon.com/customer/policy/home?revision=2026-03-15&amp;type=1</x:v>
      </x:c>
      <x:c r="L46" s="11" t="str">
        <x:v>draft_complete_pending_human_review</x:v>
      </x:c>
      <x:c r="M46" s="11" t="str">
        <x:v>pending</x:v>
      </x:c>
      <x:c r="N46" s="11"/>
      <x:c r="O46" s="11"/>
      <x:c r="P46" s="11"/>
      <x:c r="Q46" s="20" t="b">
        <x:v>0</x:v>
      </x:c>
      <x:c r="R46" s="11" t="str">
        <x:v>운영정책은 현재 공식 revision이 한 개뿐이므로 parent 재사용을 허용하되 신규 관계와 질문만 사용합니다.</x:v>
      </x:c>
    </x:row>
    <x:row r="47" ht="64" customHeight="1">
      <x:c r="A47" s="11" t="n">
        <x:v>46</x:v>
      </x:c>
      <x:c r="B47" s="11" t="str">
        <x:v>dnf_account_policy</x:v>
      </x:c>
      <x:c r="C47" s="11" t="str">
        <x:v>revision_selection</x:v>
      </x:c>
      <x:c r="D47" s="11" t="str">
        <x:v>현재 운영정책이 변경될 때 회사는 고객에게 어떤 방식으로 알려줘?</x:v>
      </x:c>
      <x:c r="E47" s="11" t="str">
        <x:v>full_answer</x:v>
      </x:c>
      <x:c r="F47" s="11" t="str">
        <x:v>current</x:v>
      </x:c>
      <x:c r="G47" s="11" t="str">
        <x:v>2026-07-17</x:v>
      </x:c>
      <x:c r="H47" s="11" t="n">
        <x:v>1</x:v>
      </x:c>
      <x:c r="I47" s="11" t="str">
        <x:v>change_notice_method: 던전앤파이터 운영정책 변경 / notice_method / text / ["공지를 통해 안내"]</x:v>
      </x:c>
      <x:c r="J47" s="11" t="str">
        <x:v>던전앤파이터 운영정책 (2026-03-15 시행)</x:v>
      </x:c>
      <x:c r="K47" s="11" t="str">
        <x:v>https://df.nexon.com/customer/policy/home?revision=2026-03-15&amp;type=1</x:v>
      </x:c>
      <x:c r="L47" s="11" t="str">
        <x:v>draft_complete_pending_human_review</x:v>
      </x:c>
      <x:c r="M47" s="11" t="str">
        <x:v>pending</x:v>
      </x:c>
      <x:c r="N47" s="11"/>
      <x:c r="O47" s="11"/>
      <x:c r="P47" s="11"/>
      <x:c r="Q47" s="20" t="b">
        <x:v>0</x:v>
      </x:c>
      <x:c r="R47" s="11" t="str">
        <x:v>운영정책은 현재 공식 revision이 한 개뿐이므로 parent 재사용을 허용하되 신규 관계와 질문만 사용합니다.</x:v>
      </x:c>
    </x:row>
    <x:row r="48" ht="64" customHeight="1">
      <x:c r="A48" s="11" t="n">
        <x:v>47</x:v>
      </x:c>
      <x:c r="B48" s="11" t="str">
        <x:v>dnf_account_policy</x:v>
      </x:c>
      <x:c r="C48" s="11" t="str">
        <x:v>unsupported_or_partial</x:v>
      </x:c>
      <x:c r="D48" s="11" t="str">
        <x:v>게임 이용제한에 이의가 있으면 어디로 신청하고, 처리 기한은 정확히 며칠이야?</x:v>
      </x:c>
      <x:c r="E48" s="11" t="str">
        <x:v>partial_answer</x:v>
      </x:c>
      <x:c r="F48" s="11" t="str">
        <x:v>current</x:v>
      </x:c>
      <x:c r="G48" s="11" t="str">
        <x:v>2026-07-17</x:v>
      </x:c>
      <x:c r="H48" s="11" t="n">
        <x:v>2</x:v>
      </x:c>
      <x:c r="I48" s="11" t="str">
        <x:v>appeal_channel: 게임 이용제한 이의신청 / appeal_channel / text / ["고객센터"]
processing_days: 게임 이용제한 이의신청 / processing_days / number / []</x:v>
      </x:c>
      <x:c r="J48" s="11" t="str">
        <x:v>던전앤파이터 운영정책 (2026-03-15 시행)</x:v>
      </x:c>
      <x:c r="K48" s="11" t="str">
        <x:v>https://df.nexon.com/customer/policy/home?revision=2026-03-15&amp;type=1</x:v>
      </x:c>
      <x:c r="L48" s="11" t="str">
        <x:v>draft_complete_pending_human_review</x:v>
      </x:c>
      <x:c r="M48" s="11" t="str">
        <x:v>pending</x:v>
      </x:c>
      <x:c r="N48" s="11"/>
      <x:c r="O48" s="11"/>
      <x:c r="P48" s="11"/>
      <x:c r="Q48" s="20" t="b">
        <x:v>0</x:v>
      </x:c>
      <x:c r="R48" s="11" t="str">
        <x:v>운영정책은 현재 공식 revision이 한 개뿐이므로 parent 재사용을 허용하되 신규 관계와 질문만 사용합니다.</x:v>
      </x:c>
    </x:row>
    <x:row r="49" ht="64" customHeight="1">
      <x:c r="A49" s="11" t="n">
        <x:v>48</x:v>
      </x:c>
      <x:c r="B49" s="11" t="str">
        <x:v>dnf_account_policy</x:v>
      </x:c>
      <x:c r="C49" s="11" t="str">
        <x:v>direct_fact</x:v>
      </x:c>
      <x:c r="D49" s="11" t="str">
        <x:v>운영정책상 이용제한 근거 데이터는 며칠 동안 보유해?</x:v>
      </x:c>
      <x:c r="E49" s="11" t="str">
        <x:v>full_answer</x:v>
      </x:c>
      <x:c r="F49" s="11" t="str">
        <x:v>current</x:v>
      </x:c>
      <x:c r="G49" s="11" t="str">
        <x:v>2026-07-17</x:v>
      </x:c>
      <x:c r="H49" s="11" t="n">
        <x:v>1</x:v>
      </x:c>
      <x:c r="I49" s="11" t="str">
        <x:v>retention_days: 이용제한 근거 데이터 / retention_days / number / [90]</x:v>
      </x:c>
      <x:c r="J49" s="11" t="str">
        <x:v>던전앤파이터 운영정책 (2026-03-15 시행)</x:v>
      </x:c>
      <x:c r="K49" s="11" t="str">
        <x:v>https://df.nexon.com/customer/policy/home?revision=2026-03-15&amp;type=1</x:v>
      </x:c>
      <x:c r="L49" s="11" t="str">
        <x:v>draft_complete_pending_human_review</x:v>
      </x:c>
      <x:c r="M49" s="11" t="str">
        <x:v>pending</x:v>
      </x:c>
      <x:c r="N49" s="11"/>
      <x:c r="O49" s="11"/>
      <x:c r="P49" s="11"/>
      <x:c r="Q49" s="20" t="b">
        <x:v>0</x:v>
      </x:c>
      <x:c r="R49" s="11" t="str">
        <x:v>운영정책은 현재 공식 revision이 한 개뿐이므로 parent 재사용을 허용하되 신규 관계와 질문만 사용합니다.</x:v>
      </x:c>
    </x:row>
    <x:row r="50" ht="64" customHeight="1">
      <x:c r="A50" s="11" t="n">
        <x:v>49</x:v>
      </x:c>
      <x:c r="B50" s="11" t="str">
        <x:v>dnf_seria_shop</x:v>
      </x:c>
      <x:c r="C50" s="11" t="str">
        <x:v>temporal_role</x:v>
      </x:c>
      <x:c r="D50" s="11" t="str">
        <x:v>프리미엄 코인샵의 트로피컬 바캉스 무기 아바타 상자는 언제 삭제돼?</x:v>
      </x:c>
      <x:c r="E50" s="11" t="str">
        <x:v>full_answer</x:v>
      </x:c>
      <x:c r="F50" s="11" t="str">
        <x:v>current</x:v>
      </x:c>
      <x:c r="G50" s="11" t="str">
        <x:v>2026-07-17</x:v>
      </x:c>
      <x:c r="H50" s="11" t="n">
        <x:v>1</x:v>
      </x:c>
      <x:c r="I50" s="11" t="str">
        <x:v>deletion_at: [프리미엄 코인샵]트로피컬 바캉스 무기 아바타 상자 / deletion_at / datetime / ["2026-08-27T06:00:00+09:00"]</x:v>
      </x:c>
      <x:c r="J50" s="11" t="str">
        <x:v>프리미엄 코인샵</x:v>
      </x:c>
      <x:c r="K50" s="11" t="str">
        <x:v>https://df.nexon.com/community/news/seriashop/378</x:v>
      </x:c>
      <x:c r="L50" s="11" t="str">
        <x:v>draft_complete_pending_human_review</x:v>
      </x:c>
      <x:c r="M50" s="11" t="str">
        <x:v>pending</x:v>
      </x:c>
      <x:c r="N50" s="11"/>
      <x:c r="O50" s="11"/>
      <x:c r="P50" s="11"/>
      <x:c r="Q50" s="20" t="b">
        <x:v>0</x:v>
      </x:c>
      <x:c r="R50" s="11"/>
    </x:row>
    <x:row r="51" ht="64" customHeight="1">
      <x:c r="A51" s="11" t="n">
        <x:v>50</x:v>
      </x:c>
      <x:c r="B51" s="11" t="str">
        <x:v>dnf_seria_shop</x:v>
      </x:c>
      <x:c r="C51" s="11" t="str">
        <x:v>boolean_direction</x:v>
      </x:c>
      <x:c r="D51" s="11" t="str">
        <x:v>장비 보호권은 증폭에도 적용돼?</x:v>
      </x:c>
      <x:c r="E51" s="11" t="str">
        <x:v>full_answer</x:v>
      </x:c>
      <x:c r="F51" s="11" t="str">
        <x:v>current</x:v>
      </x:c>
      <x:c r="G51" s="11" t="str">
        <x:v>2026-07-17</x:v>
      </x:c>
      <x:c r="H51" s="11" t="n">
        <x:v>1</x:v>
      </x:c>
      <x:c r="I51" s="11" t="str">
        <x:v>applies_to_amplification: 장비 보호권 / applies_to_amplification / boolean / [false]</x:v>
      </x:c>
      <x:c r="J51" s="11" t="str">
        <x:v>[아이템]장비</x:v>
      </x:c>
      <x:c r="K51" s="11" t="str">
        <x:v>https://df.nexon.com/community/news/seriashop/634</x:v>
      </x:c>
      <x:c r="L51" s="11" t="str">
        <x:v>draft_complete_pending_human_review</x:v>
      </x:c>
      <x:c r="M51" s="11" t="str">
        <x:v>pending</x:v>
      </x:c>
      <x:c r="N51" s="11"/>
      <x:c r="O51" s="11"/>
      <x:c r="P51" s="11"/>
      <x:c r="Q51" s="20" t="b">
        <x:v>0</x:v>
      </x:c>
      <x:c r="R51" s="11"/>
    </x:row>
    <x:row r="52" ht="64" customHeight="1">
      <x:c r="A52" s="11" t="n">
        <x:v>51</x:v>
      </x:c>
      <x:c r="B52" s="11" t="str">
        <x:v>dnf_seria_shop</x:v>
      </x:c>
      <x:c r="C52" s="11" t="str">
        <x:v>sibling_relation</x:v>
      </x:c>
      <x:c r="D52" s="11" t="str">
        <x:v>일반 상의 아바타와 상의 클론 아바타의 가격은 각각 얼마야?</x:v>
      </x:c>
      <x:c r="E52" s="11" t="str">
        <x:v>full_answer</x:v>
      </x:c>
      <x:c r="F52" s="11" t="str">
        <x:v>current</x:v>
      </x:c>
      <x:c r="G52" s="11" t="str">
        <x:v>2026-07-17</x:v>
      </x:c>
      <x:c r="H52" s="11" t="n">
        <x:v>2</x:v>
      </x:c>
      <x:c r="I52" s="11" t="str">
        <x:v>top_price: 상의 아바타 / price / currency / [{"amount":6500,"unit":"세라"}]
clone_top_price: 상의 클론 아바타 / price / currency / [{"amount":2600,"unit":"세라"}]</x:v>
      </x:c>
      <x:c r="J52" s="11" t="str">
        <x:v>[아바타]아바타 관련 안내</x:v>
      </x:c>
      <x:c r="K52" s="11" t="str">
        <x:v>https://df.nexon.com/community/news/seriashop/647</x:v>
      </x:c>
      <x:c r="L52" s="11" t="str">
        <x:v>draft_complete_pending_human_review</x:v>
      </x:c>
      <x:c r="M52" s="11" t="str">
        <x:v>pending</x:v>
      </x:c>
      <x:c r="N52" s="11"/>
      <x:c r="O52" s="11"/>
      <x:c r="P52" s="11"/>
      <x:c r="Q52" s="20" t="b">
        <x:v>0</x:v>
      </x:c>
      <x:c r="R52" s="11"/>
    </x:row>
    <x:row r="53" ht="64" customHeight="1">
      <x:c r="A53" s="11" t="n">
        <x:v>52</x:v>
      </x:c>
      <x:c r="B53" s="11" t="str">
        <x:v>dnf_seria_shop</x:v>
      </x:c>
      <x:c r="C53" s="11" t="str">
        <x:v>multi_requirement</x:v>
      </x:c>
      <x:c r="D53" s="11" t="str">
        <x:v>통큰 패키지 A의 가격, 거래 타입, 사용 기간은 각각 뭐야?</x:v>
      </x:c>
      <x:c r="E53" s="11" t="str">
        <x:v>full_answer</x:v>
      </x:c>
      <x:c r="F53" s="11" t="str">
        <x:v>current</x:v>
      </x:c>
      <x:c r="G53" s="11" t="str">
        <x:v>2026-07-17</x:v>
      </x:c>
      <x:c r="H53" s="11" t="n">
        <x:v>3</x:v>
      </x:c>
      <x:c r="I53" s="11" t="str">
        <x:v>price: 통큰 패키지 A / price / currency / [{"amount":22600,"unit":"세라"}]
trade_type: 통큰 패키지 A / trade_type / enum / ["계정귀속"]
duration: 통큰 패키지 A / duration / enum / ["무제한"]</x:v>
      </x:c>
      <x:c r="J53" s="11" t="str">
        <x:v>[아이템] 기타</x:v>
      </x:c>
      <x:c r="K53" s="11" t="str">
        <x:v>https://df.nexon.com/community/news/seriashop/641</x:v>
      </x:c>
      <x:c r="L53" s="11" t="str">
        <x:v>draft_complete_pending_human_review</x:v>
      </x:c>
      <x:c r="M53" s="11" t="str">
        <x:v>pending</x:v>
      </x:c>
      <x:c r="N53" s="11"/>
      <x:c r="O53" s="11"/>
      <x:c r="P53" s="11"/>
      <x:c r="Q53" s="20" t="b">
        <x:v>0</x:v>
      </x:c>
      <x:c r="R53" s="11"/>
    </x:row>
    <x:row r="54" ht="64" customHeight="1">
      <x:c r="A54" s="11" t="n">
        <x:v>53</x:v>
      </x:c>
      <x:c r="B54" s="11" t="str">
        <x:v>dnf_seria_shop</x:v>
      </x:c>
      <x:c r="C54" s="11" t="str">
        <x:v>table_attribute</x:v>
      </x:c>
      <x:c r="D54" s="11" t="str">
        <x:v>증폭 보호권의 가격과 거래 타입은 뭐야?</x:v>
      </x:c>
      <x:c r="E54" s="11" t="str">
        <x:v>full_answer</x:v>
      </x:c>
      <x:c r="F54" s="11" t="str">
        <x:v>current</x:v>
      </x:c>
      <x:c r="G54" s="11" t="str">
        <x:v>2026-07-17</x:v>
      </x:c>
      <x:c r="H54" s="11" t="n">
        <x:v>2</x:v>
      </x:c>
      <x:c r="I54" s="11" t="str">
        <x:v>price: 증폭 보호권 / price / currency / [{"amount":12900,"unit":"세라"}]
trade_type: 증폭 보호권 / trade_type / enum / ["교환가능"]</x:v>
      </x:c>
      <x:c r="J54" s="11" t="str">
        <x:v>[아이템]장비</x:v>
      </x:c>
      <x:c r="K54" s="11" t="str">
        <x:v>https://df.nexon.com/community/news/seriashop/634</x:v>
      </x:c>
      <x:c r="L54" s="11" t="str">
        <x:v>draft_complete_pending_human_review</x:v>
      </x:c>
      <x:c r="M54" s="11" t="str">
        <x:v>pending</x:v>
      </x:c>
      <x:c r="N54" s="11"/>
      <x:c r="O54" s="11"/>
      <x:c r="P54" s="11"/>
      <x:c r="Q54" s="20" t="b">
        <x:v>0</x:v>
      </x:c>
      <x:c r="R54" s="11"/>
    </x:row>
    <x:row r="55" ht="64" customHeight="1">
      <x:c r="A55" s="11" t="n">
        <x:v>54</x:v>
      </x:c>
      <x:c r="B55" s="11" t="str">
        <x:v>dnf_seria_shop</x:v>
      </x:c>
      <x:c r="C55" s="11" t="str">
        <x:v>revision_selection</x:v>
      </x:c>
      <x:c r="D55" s="11" t="str">
        <x:v>현재 아바타 관련 안내에서 피부 아바타의 골드 코인 가격은 얼마야?</x:v>
      </x:c>
      <x:c r="E55" s="11" t="str">
        <x:v>full_answer</x:v>
      </x:c>
      <x:c r="F55" s="11" t="str">
        <x:v>current</x:v>
      </x:c>
      <x:c r="G55" s="11" t="str">
        <x:v>2026-07-17</x:v>
      </x:c>
      <x:c r="H55" s="11" t="n">
        <x:v>1</x:v>
      </x:c>
      <x:c r="I55" s="11" t="str">
        <x:v>gold_coin_price: 피부 아바타 / gold_coin_price / currency / [{"amount":10,"unit":"골드 코인"}]</x:v>
      </x:c>
      <x:c r="J55" s="11" t="str">
        <x:v>[아바타]아바타 관련 안내</x:v>
      </x:c>
      <x:c r="K55" s="11" t="str">
        <x:v>https://df.nexon.com/community/news/seriashop/647</x:v>
      </x:c>
      <x:c r="L55" s="11" t="str">
        <x:v>draft_complete_pending_human_review</x:v>
      </x:c>
      <x:c r="M55" s="11" t="str">
        <x:v>pending</x:v>
      </x:c>
      <x:c r="N55" s="11"/>
      <x:c r="O55" s="11"/>
      <x:c r="P55" s="11"/>
      <x:c r="Q55" s="20" t="b">
        <x:v>0</x:v>
      </x:c>
      <x:c r="R55" s="11"/>
    </x:row>
    <x:row r="56" ht="64" customHeight="1">
      <x:c r="A56" s="11" t="n">
        <x:v>55</x:v>
      </x:c>
      <x:c r="B56" s="11" t="str">
        <x:v>dnf_seria_shop</x:v>
      </x:c>
      <x:c r="C56" s="11" t="str">
        <x:v>unsupported_or_partial</x:v>
      </x:c>
      <x:c r="D56" s="11" t="str">
        <x:v>하트비트 메가폰 10개의 가격과 계정당 구매 제한을 알려줘.</x:v>
      </x:c>
      <x:c r="E56" s="11" t="str">
        <x:v>partial_answer</x:v>
      </x:c>
      <x:c r="F56" s="11" t="str">
        <x:v>current</x:v>
      </x:c>
      <x:c r="G56" s="11" t="str">
        <x:v>2026-07-17</x:v>
      </x:c>
      <x:c r="H56" s="11" t="n">
        <x:v>2</x:v>
      </x:c>
      <x:c r="I56" s="11" t="str">
        <x:v>price: 하트비트 메가폰 10개 / price / currency / [{"amount":5800,"unit":"세라"}]
purchase_limit: 하트비트 메가폰 10개 / account_purchase_limit / number / []</x:v>
      </x:c>
      <x:c r="J56" s="11" t="str">
        <x:v>[아이템] 기타</x:v>
      </x:c>
      <x:c r="K56" s="11" t="str">
        <x:v>https://df.nexon.com/community/news/seriashop/641</x:v>
      </x:c>
      <x:c r="L56" s="11" t="str">
        <x:v>draft_complete_pending_human_review</x:v>
      </x:c>
      <x:c r="M56" s="11" t="str">
        <x:v>pending</x:v>
      </x:c>
      <x:c r="N56" s="11"/>
      <x:c r="O56" s="11"/>
      <x:c r="P56" s="11"/>
      <x:c r="Q56" s="20" t="b">
        <x:v>0</x:v>
      </x:c>
      <x:c r="R56" s="11"/>
    </x:row>
    <x:row r="57" ht="64" customHeight="1">
      <x:c r="A57" s="11" t="n">
        <x:v>56</x:v>
      </x:c>
      <x:c r="B57" s="11" t="str">
        <x:v>dnf_seria_shop</x:v>
      </x:c>
      <x:c r="C57" s="11" t="str">
        <x:v>direct_fact</x:v>
      </x:c>
      <x:c r="D57" s="11" t="str">
        <x:v>무한 올빼미는 어디에서 사용할 수 있어?</x:v>
      </x:c>
      <x:c r="E57" s="11" t="str">
        <x:v>full_answer</x:v>
      </x:c>
      <x:c r="F57" s="11" t="str">
        <x:v>current</x:v>
      </x:c>
      <x:c r="G57" s="11" t="str">
        <x:v>2026-07-17</x:v>
      </x:c>
      <x:c r="H57" s="11" t="n">
        <x:v>1</x:v>
      </x:c>
      <x:c r="I57" s="11" t="str">
        <x:v>usable_locations: 무한 올빼미 / usable_locations / entity_list / ["마을","던전"]</x:v>
      </x:c>
      <x:c r="J57" s="11" t="str">
        <x:v>[아이템] 기타</x:v>
      </x:c>
      <x:c r="K57" s="11" t="str">
        <x:v>https://df.nexon.com/community/news/seriashop/641</x:v>
      </x:c>
      <x:c r="L57" s="11" t="str">
        <x:v>draft_complete_pending_human_review</x:v>
      </x:c>
      <x:c r="M57" s="11" t="str">
        <x:v>pending</x:v>
      </x:c>
      <x:c r="N57" s="11"/>
      <x:c r="O57" s="11"/>
      <x:c r="P57" s="11"/>
      <x:c r="Q57" s="20" t="b">
        <x:v>0</x:v>
      </x:c>
      <x:c r="R57" s="11"/>
    </x:row>
    <x:row r="58" ht="64" customHeight="1">
      <x:c r="A58" s="11" t="n">
        <x:v>57</x:v>
      </x:c>
      <x:c r="B58" s="11" t="str">
        <x:v>dnf_monthly_item</x:v>
      </x:c>
      <x:c r="C58" s="11" t="str">
        <x:v>temporal_role</x:v>
      </x:c>
      <x:c r="D58" s="11" t="str">
        <x:v>7월 이달의 아이템 판매 기간은 언제부터 언제까지야?</x:v>
      </x:c>
      <x:c r="E58" s="11" t="str">
        <x:v>full_answer</x:v>
      </x:c>
      <x:c r="F58" s="11" t="str">
        <x:v>current</x:v>
      </x:c>
      <x:c r="G58" s="11" t="str">
        <x:v>2026-07-17</x:v>
      </x:c>
      <x:c r="H58" s="11" t="n">
        <x:v>1</x:v>
      </x:c>
      <x:c r="I58" s="11" t="str">
        <x:v>sale_period: 7월 이달의 아이템 / sale_period / date_range / ["2026-06-25","2026-07-30"]</x:v>
      </x:c>
      <x:c r="J58" s="11" t="str">
        <x:v>이달의 아이템</x:v>
      </x:c>
      <x:c r="K58" s="11" t="str">
        <x:v>https://df.nexon.com/community/news/monthlyitem</x:v>
      </x:c>
      <x:c r="L58" s="11" t="str">
        <x:v>draft_complete_pending_human_review</x:v>
      </x:c>
      <x:c r="M58" s="11" t="str">
        <x:v>pending</x:v>
      </x:c>
      <x:c r="N58" s="11"/>
      <x:c r="O58" s="11"/>
      <x:c r="P58" s="11"/>
      <x:c r="Q58" s="20" t="b">
        <x:v>0</x:v>
      </x:c>
      <x:c r="R58" s="11" t="str">
        <x:v>이달의 아이템은 현재 월 revision이 한 개뿐이므로 신규 관계와 질문에 한해 parent 재사용을 허용합니다.</x:v>
      </x:c>
    </x:row>
    <x:row r="59" ht="64" customHeight="1">
      <x:c r="A59" s="11" t="n">
        <x:v>58</x:v>
      </x:c>
      <x:c r="B59" s="11" t="str">
        <x:v>dnf_monthly_item</x:v>
      </x:c>
      <x:c r="C59" s="11" t="str">
        <x:v>boolean_direction</x:v>
      </x:c>
      <x:c r="D59" s="11" t="str">
        <x:v>7월 이달의 아이템은 다른 계정과 교환할 수 있어?</x:v>
      </x:c>
      <x:c r="E59" s="11" t="str">
        <x:v>full_answer</x:v>
      </x:c>
      <x:c r="F59" s="11" t="str">
        <x:v>current</x:v>
      </x:c>
      <x:c r="G59" s="11" t="str">
        <x:v>2026-07-17</x:v>
      </x:c>
      <x:c r="H59" s="11" t="n">
        <x:v>1</x:v>
      </x:c>
      <x:c r="I59" s="11" t="str">
        <x:v>tradeable: 7월 이달의 아이템 / is_tradeable / boolean / [true]</x:v>
      </x:c>
      <x:c r="J59" s="11" t="str">
        <x:v>이달의 아이템</x:v>
      </x:c>
      <x:c r="K59" s="11" t="str">
        <x:v>https://df.nexon.com/community/news/monthlyitem</x:v>
      </x:c>
      <x:c r="L59" s="11" t="str">
        <x:v>draft_complete_pending_human_review</x:v>
      </x:c>
      <x:c r="M59" s="11" t="str">
        <x:v>pending</x:v>
      </x:c>
      <x:c r="N59" s="11"/>
      <x:c r="O59" s="11"/>
      <x:c r="P59" s="11"/>
      <x:c r="Q59" s="20" t="b">
        <x:v>0</x:v>
      </x:c>
      <x:c r="R59" s="11" t="str">
        <x:v>이달의 아이템은 현재 월 revision이 한 개뿐이므로 신규 관계와 질문에 한해 parent 재사용을 허용합니다.</x:v>
      </x:c>
    </x:row>
    <x:row r="60" ht="64" customHeight="1">
      <x:c r="A60" s="11" t="n">
        <x:v>59</x:v>
      </x:c>
      <x:c r="B60" s="11" t="str">
        <x:v>dnf_monthly_item</x:v>
      </x:c>
      <x:c r="C60" s="11" t="str">
        <x:v>sibling_relation</x:v>
      </x:c>
      <x:c r="D60" s="11" t="str">
        <x:v>7월 이달의 아이템을 사용하면 얻는 두 상자 이름을 알려줘.</x:v>
      </x:c>
      <x:c r="E60" s="11" t="str">
        <x:v>full_answer</x:v>
      </x:c>
      <x:c r="F60" s="11" t="str">
        <x:v>current</x:v>
      </x:c>
      <x:c r="G60" s="11" t="str">
        <x:v>2026-07-17</x:v>
      </x:c>
      <x:c r="H60" s="11" t="n">
        <x:v>1</x:v>
      </x:c>
      <x:c r="I60" s="11" t="str">
        <x:v>obtained_items: 7월 이달의 아이템 / obtained_items / entity_list / ["[7월]클론 레어 아바타(교환불가) 풀세트 상자","[7월]찬란한 엠블렘(계정귀속) 풀세트 선택상자"]</x:v>
      </x:c>
      <x:c r="J60" s="11" t="str">
        <x:v>이달의 아이템</x:v>
      </x:c>
      <x:c r="K60" s="11" t="str">
        <x:v>https://df.nexon.com/community/news/monthlyitem</x:v>
      </x:c>
      <x:c r="L60" s="11" t="str">
        <x:v>draft_complete_pending_human_review</x:v>
      </x:c>
      <x:c r="M60" s="11" t="str">
        <x:v>pending</x:v>
      </x:c>
      <x:c r="N60" s="11"/>
      <x:c r="O60" s="11"/>
      <x:c r="P60" s="11"/>
      <x:c r="Q60" s="20" t="b">
        <x:v>0</x:v>
      </x:c>
      <x:c r="R60" s="11" t="str">
        <x:v>이달의 아이템은 현재 월 revision이 한 개뿐이므로 신규 관계와 질문에 한해 parent 재사용을 허용합니다.</x:v>
      </x:c>
    </x:row>
    <x:row r="61" ht="64" customHeight="1">
      <x:c r="A61" s="11" t="n">
        <x:v>60</x:v>
      </x:c>
      <x:c r="B61" s="11" t="str">
        <x:v>dnf_monthly_item</x:v>
      </x:c>
      <x:c r="C61" s="11" t="str">
        <x:v>multi_requirement</x:v>
      </x:c>
      <x:c r="D61" s="11" t="str">
        <x:v>7월 이달의 아이템의 상점 판매가와 삭제 시각은 각각 얼마와 언제야?</x:v>
      </x:c>
      <x:c r="E61" s="11" t="str">
        <x:v>full_answer</x:v>
      </x:c>
      <x:c r="F61" s="11" t="str">
        <x:v>current</x:v>
      </x:c>
      <x:c r="G61" s="11" t="str">
        <x:v>2026-07-17</x:v>
      </x:c>
      <x:c r="H61" s="11" t="n">
        <x:v>2</x:v>
      </x:c>
      <x:c r="I61" s="11" t="str">
        <x:v>shop_price: 7월 이달의 아이템 / shop_price / currency / [{"amount":40000000,"unit":"골드"}]
deletion_at: 7월 이달의 아이템 / deletion_at / datetime / ["2026-08-13T06:00:00+09:00"]</x:v>
      </x:c>
      <x:c r="J61" s="11" t="str">
        <x:v>이달의 아이템</x:v>
      </x:c>
      <x:c r="K61" s="11" t="str">
        <x:v>https://df.nexon.com/community/news/monthlyitem</x:v>
      </x:c>
      <x:c r="L61" s="11" t="str">
        <x:v>draft_complete_pending_human_review</x:v>
      </x:c>
      <x:c r="M61" s="11" t="str">
        <x:v>pending</x:v>
      </x:c>
      <x:c r="N61" s="11"/>
      <x:c r="O61" s="11"/>
      <x:c r="P61" s="11"/>
      <x:c r="Q61" s="20" t="b">
        <x:v>0</x:v>
      </x:c>
      <x:c r="R61" s="11" t="str">
        <x:v>이달의 아이템은 현재 월 revision이 한 개뿐이므로 신규 관계와 질문에 한해 parent 재사용을 허용합니다.</x:v>
      </x:c>
    </x:row>
    <x:row r="62" ht="64" customHeight="1">
      <x:c r="A62" s="11" t="n">
        <x:v>61</x:v>
      </x:c>
      <x:c r="B62" s="11" t="str">
        <x:v>dnf_monthly_item</x:v>
      </x:c>
      <x:c r="C62" s="11" t="str">
        <x:v>table_attribute</x:v>
      </x:c>
      <x:c r="D62" s="11" t="str">
        <x:v>7월 이달의 아이템의 거래 타입과 상점 판매가는 뭐야?</x:v>
      </x:c>
      <x:c r="E62" s="11" t="str">
        <x:v>full_answer</x:v>
      </x:c>
      <x:c r="F62" s="11" t="str">
        <x:v>current</x:v>
      </x:c>
      <x:c r="G62" s="11" t="str">
        <x:v>2026-07-17</x:v>
      </x:c>
      <x:c r="H62" s="11" t="n">
        <x:v>2</x:v>
      </x:c>
      <x:c r="I62" s="11" t="str">
        <x:v>trade_type: 7월 이달의 아이템 / trade_type / enum / ["교환가능"]
shop_price: 7월 이달의 아이템 / shop_price / currency / [{"amount":40000000,"unit":"골드"}]</x:v>
      </x:c>
      <x:c r="J62" s="11" t="str">
        <x:v>이달의 아이템</x:v>
      </x:c>
      <x:c r="K62" s="11" t="str">
        <x:v>https://df.nexon.com/community/news/monthlyitem</x:v>
      </x:c>
      <x:c r="L62" s="11" t="str">
        <x:v>draft_complete_pending_human_review</x:v>
      </x:c>
      <x:c r="M62" s="11" t="str">
        <x:v>pending</x:v>
      </x:c>
      <x:c r="N62" s="11"/>
      <x:c r="O62" s="11"/>
      <x:c r="P62" s="11"/>
      <x:c r="Q62" s="20" t="b">
        <x:v>0</x:v>
      </x:c>
      <x:c r="R62" s="11" t="str">
        <x:v>이달의 아이템은 현재 월 revision이 한 개뿐이므로 신규 관계와 질문에 한해 parent 재사용을 허용합니다.</x:v>
      </x:c>
    </x:row>
    <x:row r="63" ht="64" customHeight="1">
      <x:c r="A63" s="11" t="n">
        <x:v>62</x:v>
      </x:c>
      <x:c r="B63" s="11" t="str">
        <x:v>dnf_monthly_item</x:v>
      </x:c>
      <x:c r="C63" s="11" t="str">
        <x:v>revision_selection</x:v>
      </x:c>
      <x:c r="D63" s="11" t="str">
        <x:v>6월 이달의 아이템은 언제 일괄 삭제됐어?</x:v>
      </x:c>
      <x:c r="E63" s="11" t="str">
        <x:v>full_answer</x:v>
      </x:c>
      <x:c r="F63" s="11" t="str">
        <x:v>historical</x:v>
      </x:c>
      <x:c r="G63" s="11" t="str">
        <x:v>2026-07-17</x:v>
      </x:c>
      <x:c r="H63" s="11" t="n">
        <x:v>1</x:v>
      </x:c>
      <x:c r="I63" s="11" t="str">
        <x:v>deletion_at: 6월 이달의 아이템 / deletion_at / datetime / ["2026-07-09T06:00:00+09:00"]</x:v>
      </x:c>
      <x:c r="J63" s="11" t="str">
        <x:v>6월 이달 의 아이템</x:v>
      </x:c>
      <x:c r="K63" s="11" t="str">
        <x:v>https://df.nexon.com/community/news/seriashop/622</x:v>
      </x:c>
      <x:c r="L63" s="11" t="str">
        <x:v>draft_complete_pending_human_review</x:v>
      </x:c>
      <x:c r="M63" s="11" t="str">
        <x:v>pending</x:v>
      </x:c>
      <x:c r="N63" s="11"/>
      <x:c r="O63" s="11"/>
      <x:c r="P63" s="11"/>
      <x:c r="Q63" s="20" t="b">
        <x:v>0</x:v>
      </x:c>
      <x:c r="R63" s="11" t="str">
        <x:v>월별 공식 revision 비교를 위해 과거 6월 parent를 사용하며 질문과 관계는 신규입니다.</x:v>
      </x:c>
    </x:row>
    <x:row r="64" ht="64" customHeight="1">
      <x:c r="A64" s="11" t="n">
        <x:v>63</x:v>
      </x:c>
      <x:c r="B64" s="11" t="str">
        <x:v>dnf_monthly_item</x:v>
      </x:c>
      <x:c r="C64" s="11" t="str">
        <x:v>unsupported_or_partial</x:v>
      </x:c>
      <x:c r="D64" s="11" t="str">
        <x:v>7월 이달의 아이템 상점 판매가와 8월 이달의 아이템 이름을 알려줘.</x:v>
      </x:c>
      <x:c r="E64" s="11" t="str">
        <x:v>partial_answer</x:v>
      </x:c>
      <x:c r="F64" s="11" t="str">
        <x:v>current</x:v>
      </x:c>
      <x:c r="G64" s="11" t="str">
        <x:v>2026-07-17</x:v>
      </x:c>
      <x:c r="H64" s="11" t="n">
        <x:v>2</x:v>
      </x:c>
      <x:c r="I64" s="11" t="str">
        <x:v>july_shop_price: 7월 이달의 아이템 / shop_price / currency / [{"amount":40000000,"unit":"골드"}]
august_item_name: 8월 이달의 아이템 / item_name / entity / []</x:v>
      </x:c>
      <x:c r="J64" s="11" t="str">
        <x:v>이달의 아이템</x:v>
      </x:c>
      <x:c r="K64" s="11" t="str">
        <x:v>https://df.nexon.com/community/news/monthlyitem</x:v>
      </x:c>
      <x:c r="L64" s="11" t="str">
        <x:v>draft_complete_pending_human_review</x:v>
      </x:c>
      <x:c r="M64" s="11" t="str">
        <x:v>pending</x:v>
      </x:c>
      <x:c r="N64" s="11"/>
      <x:c r="O64" s="11"/>
      <x:c r="P64" s="11"/>
      <x:c r="Q64" s="20" t="b">
        <x:v>0</x:v>
      </x:c>
      <x:c r="R64" s="11" t="str">
        <x:v>이달의 아이템은 현재 월 revision이 한 개뿐이므로 신규 관계와 질문에 한해 parent 재사용을 허용합니다.</x:v>
      </x:c>
    </x:row>
    <x:row r="65" ht="64" customHeight="1">
      <x:c r="A65" s="11" t="n">
        <x:v>64</x:v>
      </x:c>
      <x:c r="B65" s="11" t="str">
        <x:v>dnf_monthly_item</x:v>
      </x:c>
      <x:c r="C65" s="11" t="str">
        <x:v>direct_fact</x:v>
      </x:c>
      <x:c r="D65" s="11" t="str">
        <x:v>이달의 아이템은 세라샵에서 어떤 방식으로 획득해?</x:v>
      </x:c>
      <x:c r="E65" s="11" t="str">
        <x:v>full_answer</x:v>
      </x:c>
      <x:c r="F65" s="11" t="str">
        <x:v>current</x:v>
      </x:c>
      <x:c r="G65" s="11" t="str">
        <x:v>2026-07-17</x:v>
      </x:c>
      <x:c r="H65" s="11" t="n">
        <x:v>1</x:v>
      </x:c>
      <x:c r="I65" s="11" t="str">
        <x:v>acquisition_method: 이달의 아이템 / acquisition_method / text / ["해방의 열쇠로 봉인된 자물쇠를 열어 확률적으로 획득"]</x:v>
      </x:c>
      <x:c r="J65" s="11" t="str">
        <x:v>이달의 아이템</x:v>
      </x:c>
      <x:c r="K65" s="11" t="str">
        <x:v>https://df.nexon.com/community/news/monthlyitem</x:v>
      </x:c>
      <x:c r="L65" s="11" t="str">
        <x:v>draft_complete_pending_human_review</x:v>
      </x:c>
      <x:c r="M65" s="11" t="str">
        <x:v>pending</x:v>
      </x:c>
      <x:c r="N65" s="11"/>
      <x:c r="O65" s="11"/>
      <x:c r="P65" s="11"/>
      <x:c r="Q65" s="20" t="b">
        <x:v>0</x:v>
      </x:c>
      <x:c r="R65" s="11" t="str">
        <x:v>이달의 아이템은 현재 월 revision이 한 개뿐이므로 신규 관계와 질문에 한해 parent 재사용을 허용합니다.</x:v>
      </x:c>
    </x:row>
  </x:sheetData>
  <x:conditionalFormatting sqref="M2:M65">
    <x:cfRule type="containsText" dxfId="0" priority="1" operator="containsText" text="pending"/>
    <x:cfRule type="containsText" dxfId="1" priority="2" operator="containsText" text="approved"/>
    <x:cfRule type="containsText" dxfId="2" priority="3" operator="containsText" text="rewrite"/>
    <x:cfRule type="containsText" dxfId="3" priority="4" operator="containsText" text="rejected"/>
  </x:conditionalFormatting>
  <x:dataValidations count="1">
    <x:dataValidation type="list" sqref="M2:M65">
      <x:formula1>"pending,approved,rewrite,rejected"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e765ffcda243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0" hidden="0" customWidth="1"/>
    <x:col min="4" max="4" width="28" hidden="0" customWidth="1"/>
    <x:col min="5" max="5" width="28" hidden="0" customWidth="1"/>
    <x:col min="6" max="6" width="18" hidden="0" customWidth="1"/>
    <x:col min="7" max="7" width="18" hidden="0" customWidth="1"/>
    <x:col min="8" max="8" width="18" hidden="0" customWidth="1"/>
    <x:col min="9" max="9" width="60" hidden="0" customWidth="1"/>
    <x:col min="10" max="10" width="32" hidden="0" customWidth="1"/>
    <x:col min="11" max="11" width="42" hidden="0" customWidth="1"/>
    <x:col min="12" max="12" width="42" hidden="0" customWidth="1"/>
    <x:col min="13" max="13" width="10" hidden="0" customWidth="1"/>
    <x:col min="14" max="14" width="10" hidden="0" customWidth="1"/>
    <x:col min="15" max="15" width="40" hidden="0" customWidth="1"/>
  </x:cols>
  <x:sheetData>
    <x:row r="1" ht="28" customHeight="1">
      <x:c r="A1" s="8" t="str">
        <x:v>Slot</x:v>
      </x:c>
      <x:c r="B1" s="8" t="str">
        <x:v>Requirement ID</x:v>
      </x:c>
      <x:c r="C1" s="8" t="str">
        <x:v>Expected status</x:v>
      </x:c>
      <x:c r="D1" s="8" t="str">
        <x:v>Subject</x:v>
      </x:c>
      <x:c r="E1" s="8" t="str">
        <x:v>Relation</x:v>
      </x:c>
      <x:c r="F1" s="8" t="str">
        <x:v>Value type</x:v>
      </x:c>
      <x:c r="G1" s="8" t="str">
        <x:v>Required values</x:v>
      </x:c>
      <x:c r="H1" s="8" t="str">
        <x:v>Evidence #</x:v>
      </x:c>
      <x:c r="I1" s="8" t="str">
        <x:v>Exact evidence text</x:v>
      </x:c>
      <x:c r="J1" s="8" t="str">
        <x:v>Document title</x:v>
      </x:c>
      <x:c r="K1" s="8" t="str">
        <x:v>Document ID</x:v>
      </x:c>
      <x:c r="L1" s="8" t="str">
        <x:v>Chunk ID</x:v>
      </x:c>
      <x:c r="M1" s="8" t="str">
        <x:v>Start</x:v>
      </x:c>
      <x:c r="N1" s="8" t="str">
        <x:v>End</x:v>
      </x:c>
      <x:c r="O1" s="8" t="str">
        <x:v>Source URL</x:v>
      </x:c>
    </x:row>
    <x:row r="2" ht="54" customHeight="1">
      <x:c r="A2" s="11" t="n">
        <x:v>1</x:v>
      </x:c>
      <x:c r="B2" s="11" t="str">
        <x:v>effective_date</x:v>
      </x:c>
      <x:c r="C2" s="11" t="str">
        <x:v>supported</x:v>
      </x:c>
      <x:c r="D2" s="11" t="str">
        <x:v>세라 이용약관 개정안</x:v>
      </x:c>
      <x:c r="E2" s="11" t="str">
        <x:v>effective_at</x:v>
      </x:c>
      <x:c r="F2" s="11" t="str">
        <x:v>date</x:v>
      </x:c>
      <x:c r="G2" s="11" t="str">
        <x:v>["2026-05-28"]</x:v>
      </x:c>
      <x:c r="H2" s="11" t="n">
        <x:v>1</x:v>
      </x:c>
      <x:c r="I2" s="11" t="str">
        <x:v>▒ 적용 일자
- 2026년 5월 28일(목)</x:v>
      </x:c>
      <x:c r="J2" s="11" t="str">
        <x:v>세라 이용약관 개정 안내</x:v>
      </x:c>
      <x:c r="K2" s="11" t="str">
        <x:v>document_sha256_085145b30c235432bceeafc29073b549da3b41962ab171f81f252a2aae8f0b99</x:v>
      </x:c>
      <x:c r="L2" s="11" t="str">
        <x:v>chunk_sha256_9559f1305bfb2208a829c6b15f521e831fdc4e4d2ebbc62aa083bc98bec872c1</x:v>
      </x:c>
      <x:c r="M2" s="11" t="n">
        <x:v>100</x:v>
      </x:c>
      <x:c r="N2" s="11" t="n">
        <x:v>125</x:v>
      </x:c>
      <x:c r="O2" s="11" t="str">
        <x:v>https://df.nexon.com/community/news/notice/2927117</x:v>
      </x:c>
    </x:row>
    <x:row r="3" ht="54" customHeight="1">
      <x:c r="A3" s="11" t="n">
        <x:v>2</x:v>
      </x:c>
      <x:c r="B3" s="11" t="str">
        <x:v>effect_rendered</x:v>
      </x:c>
      <x:c r="C3" s="11" t="str">
        <x:v>supported</x:v>
      </x:c>
      <x:c r="D3" s="11" t="str">
        <x:v>조율의 경계 - 광휘의 의지 개봉 연출</x:v>
      </x:c>
      <x:c r="E3" s="11" t="str">
        <x:v>is_normally_rendered</x:v>
      </x:c>
      <x:c r="F3" s="11" t="str">
        <x:v>boolean</x:v>
      </x:c>
      <x:c r="G3" s="11" t="str">
        <x:v>[false]</x:v>
      </x:c>
      <x:c r="H3" s="11" t="n">
        <x:v>1</x:v>
      </x:c>
      <x:c r="I3" s="11" t="str">
        <x:v>조율의 경계 - 광휘의 의지 개봉 시 연출이 출력되지 않는 현상</x:v>
      </x:c>
      <x:c r="J3" s="11" t="str">
        <x:v>4/2(목) 확인된 오류 안내</x:v>
      </x:c>
      <x:c r="K3" s="11" t="str">
        <x:v>document_sha256_01ef4667e5e0b3e9c50db6463ba8c061b813085adba9d00766f2f3e44c4b6177</x:v>
      </x:c>
      <x:c r="L3" s="11" t="str">
        <x:v>chunk_sha256_10d5fa24cd8c67df6976463117ac348c37fe3ff476a1053478d90caf9d4f3d6f</x:v>
      </x:c>
      <x:c r="M3" s="11" t="n">
        <x:v>121</x:v>
      </x:c>
      <x:c r="N3" s="11" t="n">
        <x:v>156</x:v>
      </x:c>
      <x:c r="O3" s="11" t="str">
        <x:v>https://df.nexon.com/community/news/notice/2926884</x:v>
      </x:c>
    </x:row>
    <x:row r="4" ht="54" customHeight="1">
      <x:c r="A4" s="11" t="n">
        <x:v>3</x:v>
      </x:c>
      <x:c r="B4" s="11" t="str">
        <x:v>graphics_card_quantity</x:v>
      </x:c>
      <x:c r="C4" s="11" t="str">
        <x:v>supported</x:v>
      </x:c>
      <x:c r="D4" s="11" t="str">
        <x:v>[20th special]던전 앤 그래픽카드</x:v>
      </x:c>
      <x:c r="E4" s="11" t="str">
        <x:v>drawing_goods_quantity</x:v>
      </x:c>
      <x:c r="F4" s="11" t="str">
        <x:v>number</x:v>
      </x:c>
      <x:c r="G4" s="11" t="str">
        <x:v>[4]</x:v>
      </x:c>
      <x:c r="H4" s="11" t="n">
        <x:v>1</x:v>
      </x:c>
      <x:c r="I4" s="11" t="str">
        <x:v>[20th special]던전 앤 그래픽카드 (4개)</x:v>
      </x:c>
      <x:c r="J4" s="11" t="str">
        <x:v>[5주차] 세리아와 함께한 20주년 선물 추첨 당첨자 발표</x:v>
      </x:c>
      <x:c r="K4" s="11" t="str">
        <x:v>document_sha256_0cc780d0a8897dbfb8946825378b71fdb10ddddc8b0ef5dda6e34722ba6f44cd</x:v>
      </x:c>
      <x:c r="L4" s="11" t="str">
        <x:v>chunk_sha256_eac72b4d5bb920cb99dc3530d5f8607122fa39d26e361afcc93269d1daa3fd8c</x:v>
      </x:c>
      <x:c r="M4" s="11" t="n">
        <x:v>226</x:v>
      </x:c>
      <x:c r="N4" s="11" t="n">
        <x:v>255</x:v>
      </x:c>
      <x:c r="O4" s="11" t="str">
        <x:v>https://df.nexon.com/community/news/notice/2924996</x:v>
      </x:c>
    </x:row>
    <x:row r="5" ht="54" customHeight="1">
      <x:c r="A5" s="11" t="n">
        <x:v>3</x:v>
      </x:c>
      <x:c r="B5" s="11" t="str">
        <x:v>keyboard_mousepad_quantity</x:v>
      </x:c>
      <x:c r="C5" s="11" t="str">
        <x:v>supported</x:v>
      </x:c>
      <x:c r="D5" s="11" t="str">
        <x:v>[20th special]20주년 키보드 + 장패드</x:v>
      </x:c>
      <x:c r="E5" s="11" t="str">
        <x:v>drawing_goods_quantity</x:v>
      </x:c>
      <x:c r="F5" s="11" t="str">
        <x:v>number</x:v>
      </x:c>
      <x:c r="G5" s="11" t="str">
        <x:v>[12]</x:v>
      </x:c>
      <x:c r="H5" s="11" t="n">
        <x:v>1</x:v>
      </x:c>
      <x:c r="I5" s="11" t="str">
        <x:v>[20th special]20주년 키보드 + 장패드 (12개)</x:v>
      </x:c>
      <x:c r="J5" s="11" t="str">
        <x:v>[5주차] 세리아와 함께한 20주년 선물 추첨 당첨자 발표</x:v>
      </x:c>
      <x:c r="K5" s="11" t="str">
        <x:v>document_sha256_0cc780d0a8897dbfb8946825378b71fdb10ddddc8b0ef5dda6e34722ba6f44cd</x:v>
      </x:c>
      <x:c r="L5" s="11" t="str">
        <x:v>chunk_sha256_eac72b4d5bb920cb99dc3530d5f8607122fa39d26e361afcc93269d1daa3fd8c</x:v>
      </x:c>
      <x:c r="M5" s="11" t="n">
        <x:v>256</x:v>
      </x:c>
      <x:c r="N5" s="11" t="n">
        <x:v>290</x:v>
      </x:c>
      <x:c r="O5" s="11" t="str">
        <x:v>https://df.nexon.com/community/news/notice/2924996</x:v>
      </x:c>
    </x:row>
    <x:row r="6" ht="54" customHeight="1">
      <x:c r="A6" s="11" t="n">
        <x:v>4</x:v>
      </x:c>
      <x:c r="B6" s="11" t="str">
        <x:v>payment_impact</x:v>
      </x:c>
      <x:c r="C6" s="11" t="str">
        <x:v>supported</x:v>
      </x:c>
      <x:c r="D6" s="11" t="str">
        <x:v>Chrome 141 업데이트</x:v>
      </x:c>
      <x:c r="E6" s="11" t="str">
        <x:v>payment_impact</x:v>
      </x:c>
      <x:c r="F6" s="11" t="str">
        <x:v>text</x:v>
      </x:c>
      <x:c r="G6" s="11" t="str">
        <x:v>["로컬 네트워크 접근이 기본 활성화로 변경되어 ISP 결제가 불가"]</x:v>
      </x:c>
      <x:c r="H6" s="11" t="n">
        <x:v>1</x:v>
      </x:c>
      <x:c r="I6" s="11" t="str">
        <x:v>구글 크롬 브라우저 업데이트로 [로컬 네트워크 Local Network Access']이 기본 활성화로 변경되어 ISP 결제 불가</x:v>
      </x:c>
      <x:c r="J6" s="11" t="str">
        <x:v>Chrome 브라우저 신규 버전(141) 업데이트 시 ISP 결제 불가 현상 및 조치 방법 안내</x:v>
      </x:c>
      <x:c r="K6" s="11" t="str">
        <x:v>document_sha256_079f23d51a3f56a736ea69eee0f6f4e5fcdcb01d2364bad1550c93a8a2c0c2e9</x:v>
      </x:c>
      <x:c r="L6" s="11" t="str">
        <x:v>chunk_sha256_9de3e9229cf67aff857e491937cdad538298a7729df5499dc49ab72cdde1b673</x:v>
      </x:c>
      <x:c r="M6" s="11" t="n">
        <x:v>271</x:v>
      </x:c>
      <x:c r="N6" s="11" t="n">
        <x:v>343</x:v>
      </x:c>
      <x:c r="O6" s="11" t="str">
        <x:v>https://df.nexon.com/community/news/notice/2923292</x:v>
      </x:c>
    </x:row>
    <x:row r="7" ht="54" customHeight="1">
      <x:c r="A7" s="11" t="n">
        <x:v>4</x:v>
      </x:c>
      <x:c r="B7" s="11" t="str">
        <x:v>permission_action</x:v>
      </x:c>
      <x:c r="C7" s="11" t="str">
        <x:v>supported</x:v>
      </x:c>
      <x:c r="D7" s="11" t="str">
        <x:v>ISP 결제 로컬 네트워크 접근 알림</x:v>
      </x:c>
      <x:c r="E7" s="11" t="str">
        <x:v>recommended_action</x:v>
      </x:c>
      <x:c r="F7" s="11" t="str">
        <x:v>enum</x:v>
      </x:c>
      <x:c r="G7" s="11" t="str">
        <x:v>["허용"]</x:v>
      </x:c>
      <x:c r="H7" s="11" t="n">
        <x:v>1</x:v>
      </x:c>
      <x:c r="I7" s="11" t="str">
        <x:v>로컬 네트워크 엑세스 허용/차단 알럿 발생 시, 허용 설정</x:v>
      </x:c>
      <x:c r="J7" s="11" t="str">
        <x:v>Chrome 브라우저 신규 버전(141) 업데이트 시 ISP 결제 불가 현상 및 조치 방법 안내</x:v>
      </x:c>
      <x:c r="K7" s="11" t="str">
        <x:v>document_sha256_079f23d51a3f56a736ea69eee0f6f4e5fcdcb01d2364bad1550c93a8a2c0c2e9</x:v>
      </x:c>
      <x:c r="L7" s="11" t="str">
        <x:v>chunk_sha256_9de3e9229cf67aff857e491937cdad538298a7729df5499dc49ab72cdde1b673</x:v>
      </x:c>
      <x:c r="M7" s="11" t="n">
        <x:v>373</x:v>
      </x:c>
      <x:c r="N7" s="11" t="n">
        <x:v>405</x:v>
      </x:c>
      <x:c r="O7" s="11" t="str">
        <x:v>https://df.nexon.com/community/news/notice/2923292</x:v>
      </x:c>
    </x:row>
    <x:row r="8" ht="54" customHeight="1">
      <x:c r="A8" s="11" t="n">
        <x:v>5</x:v>
      </x:c>
      <x:c r="B8" s="11" t="str">
        <x:v>maintenance_time</x:v>
      </x:c>
      <x:c r="C8" s="11" t="str">
        <x:v>supported</x:v>
      </x:c>
      <x:c r="D8" s="11" t="str">
        <x:v>2026년 4월 2일 정기점검</x:v>
      </x:c>
      <x:c r="E8" s="11" t="str">
        <x:v>maintenance_time</x:v>
      </x:c>
      <x:c r="F8" s="11" t="str">
        <x:v>date_range</x:v>
      </x:c>
      <x:c r="G8" s="11" t="str">
        <x:v>["04:30","10:00"]</x:v>
      </x:c>
      <x:c r="H8" s="11" t="n">
        <x:v>1</x:v>
      </x:c>
      <x:c r="I8" s="11" t="str">
        <x:v>| 시간 | 04:30 ~ 10:00 |</x:v>
      </x:c>
      <x:c r="J8" s="11" t="str">
        <x:v>4/2(목) 정기점검 안내</x:v>
      </x:c>
      <x:c r="K8" s="11" t="str">
        <x:v>document_sha256_4aef843c8996086e3753cb8b65fd6bdb1b591feb7b470aaf6c8baa2c5d5d243c</x:v>
      </x:c>
      <x:c r="L8" s="11" t="str">
        <x:v>chunk_sha256_e895a05fe7feef204a5ba199b0e8794959711ef0508e618b10b0d94b5285cc24</x:v>
      </x:c>
      <x:c r="M8" s="11" t="n">
        <x:v>121</x:v>
      </x:c>
      <x:c r="N8" s="11" t="n">
        <x:v>143</x:v>
      </x:c>
      <x:c r="O8" s="11" t="str">
        <x:v>https://df.nexon.com/community/news/notice/2926860</x:v>
      </x:c>
    </x:row>
    <x:row r="9" ht="54" customHeight="1">
      <x:c r="A9" s="11" t="n">
        <x:v>6</x:v>
      </x:c>
      <x:c r="B9" s="11" t="str">
        <x:v>policy_effective_date</x:v>
      </x:c>
      <x:c r="C9" s="11" t="str">
        <x:v>supported</x:v>
      </x:c>
      <x:c r="D9" s="11" t="str">
        <x:v>던전앤파이터 운영정책 변경</x:v>
      </x:c>
      <x:c r="E9" s="11" t="str">
        <x:v>effective_at</x:v>
      </x:c>
      <x:c r="F9" s="11" t="str">
        <x:v>date</x:v>
      </x:c>
      <x:c r="G9" s="11" t="str">
        <x:v>["2025-11-01"]</x:v>
      </x:c>
      <x:c r="H9" s="11" t="n">
        <x:v>1</x:v>
      </x:c>
      <x:c r="I9" s="11" t="str">
        <x:v>2025년 11월 1일 자로 변경이 예정</x:v>
      </x:c>
      <x:c r="J9" s="11" t="str">
        <x:v>던전앤파이터 운영정책 변경 안내</x:v>
      </x:c>
      <x:c r="K9" s="11" t="str">
        <x:v>document_sha256_0729e99a8f2a7bff82aa522667d519d80a194369910a8c020f54825ab627c51d</x:v>
      </x:c>
      <x:c r="L9" s="11" t="str">
        <x:v>chunk_sha256_15cf260ff6e53ec7aee7f2bf777c7d9c548d3551b049e287843b00c9b0c91790</x:v>
      </x:c>
      <x:c r="M9" s="11" t="n">
        <x:v>86</x:v>
      </x:c>
      <x:c r="N9" s="11" t="n">
        <x:v>108</x:v>
      </x:c>
      <x:c r="O9" s="11" t="str">
        <x:v>https://df.nexon.com/community/news/notice/2923361</x:v>
      </x:c>
    </x:row>
    <x:row r="10" ht="54" customHeight="1">
      <x:c r="A10" s="11" t="n">
        <x:v>7</x:v>
      </x:c>
      <x:c r="B10" s="11" t="str">
        <x:v>investigation_status</x:v>
      </x:c>
      <x:c r="C10" s="11" t="str">
        <x:v>supported</x:v>
      </x:c>
      <x:c r="D10" s="11" t="str">
        <x:v>조율의 경계 연출 오류</x:v>
      </x:c>
      <x:c r="E10" s="11" t="str">
        <x:v>investigation_status</x:v>
      </x:c>
      <x:c r="F10" s="11" t="str">
        <x:v>enum</x:v>
      </x:c>
      <x:c r="G10" s="11" t="str">
        <x:v>["확인 중"]</x:v>
      </x:c>
      <x:c r="H10" s="11" t="n">
        <x:v>1</x:v>
      </x:c>
      <x:c r="I10" s="11" t="str">
        <x:v>오류 확인중에 있으며 추후 공지사항을 통해 안내</x:v>
      </x:c>
      <x:c r="J10" s="11" t="str">
        <x:v>4/2(목) 확인된 오류 안내</x:v>
      </x:c>
      <x:c r="K10" s="11" t="str">
        <x:v>document_sha256_01ef4667e5e0b3e9c50db6463ba8c061b813085adba9d00766f2f3e44c4b6177</x:v>
      </x:c>
      <x:c r="L10" s="11" t="str">
        <x:v>chunk_sha256_10d5fa24cd8c67df6976463117ac348c37fe3ff476a1053478d90caf9d4f3d6f</x:v>
      </x:c>
      <x:c r="M10" s="11" t="n">
        <x:v>159</x:v>
      </x:c>
      <x:c r="N10" s="11" t="n">
        <x:v>185</x:v>
      </x:c>
      <x:c r="O10" s="11" t="str">
        <x:v>https://df.nexon.com/community/news/notice/2926884</x:v>
      </x:c>
    </x:row>
    <x:row r="11" ht="54" customHeight="1">
      <x:c r="A11" s="11" t="n">
        <x:v>7</x:v>
      </x:c>
      <x:c r="B11" s="11" t="str">
        <x:v>fixed_at</x:v>
      </x:c>
      <x:c r="C11" s="11" t="str">
        <x:v>unsupported</x:v>
      </x:c>
      <x:c r="D11" s="11" t="str">
        <x:v>조율의 경계 연출 오류</x:v>
      </x:c>
      <x:c r="E11" s="11" t="str">
        <x:v>fixed_at</x:v>
      </x:c>
      <x:c r="F11" s="11" t="str">
        <x:v>datetime</x:v>
      </x:c>
      <x:c r="G11" s="11" t="str">
        <x:v>[]</x:v>
      </x:c>
      <x:c r="H11" s="11" t="n">
        <x:v>0</x:v>
      </x:c>
      <x:c r="I11" s="11" t="str">
        <x:v>(공식 문서에서 근거 없음)</x:v>
      </x:c>
      <x:c r="J11" s="11" t="str">
        <x:v>4/2(목) 확인된 오류 안내</x:v>
      </x:c>
      <x:c r="K11" s="11" t="str">
        <x:v>document_sha256_01ef4667e5e0b3e9c50db6463ba8c061b813085adba9d00766f2f3e44c4b6177</x:v>
      </x:c>
      <x:c r="L11" s="11"/>
      <x:c r="M11" s="11"/>
      <x:c r="N11" s="11"/>
      <x:c r="O11" s="11" t="str">
        <x:v>https://df.nexon.com/community/news/notice/2926884</x:v>
      </x:c>
    </x:row>
    <x:row r="12" ht="54" customHeight="1">
      <x:c r="A12" s="11" t="n">
        <x:v>8</x:v>
      </x:c>
      <x:c r="B12" s="11" t="str">
        <x:v>shop_location</x:v>
      </x:c>
      <x:c r="C12" s="11" t="str">
        <x:v>supported</x:v>
      </x:c>
      <x:c r="D12" s="11" t="str">
        <x:v>세리아의 특별 상점</x:v>
      </x:c>
      <x:c r="E12" s="11" t="str">
        <x:v>location</x:v>
      </x:c>
      <x:c r="F12" s="11" t="str">
        <x:v>text</x:v>
      </x:c>
      <x:c r="G12" s="11" t="str">
        <x:v>["세리아방의 NPC 세리아"]</x:v>
      </x:c>
      <x:c r="H12" s="11" t="n">
        <x:v>1</x:v>
      </x:c>
      <x:c r="I12" s="11" t="str">
        <x:v>세리아방의 NPC 세리아를 클릭하면 찾을 수 있습니다.</x:v>
      </x:c>
      <x:c r="J12" s="11" t="str">
        <x:v>6/12(금) 세리아 특별 상점 물품 판매 안내</x:v>
      </x:c>
      <x:c r="K12" s="11" t="str">
        <x:v>document_sha256_02b647e98136fec7c3e8365815de0f40fafb52a478b80d4fb0e32a8033b142e6</x:v>
      </x:c>
      <x:c r="L12" s="11" t="str">
        <x:v>chunk_sha256_5ac51535e2805865522412deac4cfb565e9ad9faa4e57a67db855d69dcfbaf73</x:v>
      </x:c>
      <x:c r="M12" s="11" t="n">
        <x:v>280</x:v>
      </x:c>
      <x:c r="N12" s="11" t="n">
        <x:v>310</x:v>
      </x:c>
      <x:c r="O12" s="11" t="str">
        <x:v>https://df.nexon.com/community/news/notice/2927710</x:v>
      </x:c>
    </x:row>
    <x:row r="13" ht="54" customHeight="1">
      <x:c r="A13" s="11" t="n">
        <x:v>9</x:v>
      </x:c>
      <x:c r="B13" s="11" t="str">
        <x:v>effective_date</x:v>
      </x:c>
      <x:c r="C13" s="11" t="str">
        <x:v>supported</x:v>
      </x:c>
      <x:c r="D13" s="11" t="str">
        <x:v>시즌 11 Act 2. 제국의 파도 &amp; 폭권</x:v>
      </x:c>
      <x:c r="E13" s="11" t="str">
        <x:v>effective_at</x:v>
      </x:c>
      <x:c r="F13" s="11" t="str">
        <x:v>date</x:v>
      </x:c>
      <x:c r="G13" s="11" t="str">
        <x:v>["2026-06-04"]</x:v>
      </x:c>
      <x:c r="H13" s="11" t="n">
        <x:v>1</x:v>
      </x:c>
      <x:c r="I13" s="11" t="str">
        <x:v>6/4(목) 점검 중 업데이트 되는 내용</x:v>
      </x:c>
      <x:c r="J13" s="11" t="str">
        <x:v>시즌 11 Act 2. 제국의 파도 ＆ 폭권</x:v>
      </x:c>
      <x:c r="K13" s="11" t="str">
        <x:v>document_sha256_81cd2addd84b453ac055d32dbe94aeb3c49e3067583cca75eb996b30f479992f</x:v>
      </x:c>
      <x:c r="L13" s="11" t="str">
        <x:v>chunk_sha256_6de95eb00fcbda18d712b0de56741997ad433988cba9680eed832cc46a554668</x:v>
      </x:c>
      <x:c r="M13" s="11" t="n">
        <x:v>77</x:v>
      </x:c>
      <x:c r="N13" s="11" t="n">
        <x:v>99</x:v>
      </x:c>
      <x:c r="O13" s="11" t="str">
        <x:v>https://df.nexon.com/community/news/update/2927617</x:v>
      </x:c>
    </x:row>
    <x:row r="14" ht="54" customHeight="1">
      <x:c r="A14" s="11" t="n">
        <x:v>10</x:v>
      </x:c>
      <x:c r="B14" s="11" t="str">
        <x:v>dx11_memory_fixed</x:v>
      </x:c>
      <x:c r="C14" s="11" t="str">
        <x:v>supported</x:v>
      </x:c>
      <x:c r="D14" s="11" t="str">
        <x:v>DirectX11 높은 메모리 사용량</x:v>
      </x:c>
      <x:c r="E14" s="11" t="str">
        <x:v>is_fixed</x:v>
      </x:c>
      <x:c r="F14" s="11" t="str">
        <x:v>boolean</x:v>
      </x:c>
      <x:c r="G14" s="11" t="str">
        <x:v>[true]</x:v>
      </x:c>
      <x:c r="H14" s="11" t="n">
        <x:v>1</x:v>
      </x:c>
      <x:c r="I14" s="11" t="str">
        <x:v>DirectX11 이용 시 DirectX9 대비 메모리 사용량이 높은 현상이 수정됩니다.</x:v>
      </x:c>
      <x:c r="J14" s="11" t="str">
        <x:v>7/9(목) 정기점검 업데이트 안내</x:v>
      </x:c>
      <x:c r="K14" s="11" t="str">
        <x:v>document_sha256_d87ef4a96a0ca6cf4d658f37860b6d9f57347d0fb4743f03bb34907610692c97</x:v>
      </x:c>
      <x:c r="L14" s="11" t="str">
        <x:v>chunk_sha256_335e912feb7afd35d6f84f0f577b90bb62358201bedde54ff8784877dd910085</x:v>
      </x:c>
      <x:c r="M14" s="11" t="n">
        <x:v>123</x:v>
      </x:c>
      <x:c r="N14" s="11" t="n">
        <x:v>172</x:v>
      </x:c>
      <x:c r="O14" s="11" t="str">
        <x:v>https://df.nexon.com/community/news/update/2927913</x:v>
      </x:c>
    </x:row>
    <x:row r="15" ht="54" customHeight="1">
      <x:c r="A15" s="11" t="n">
        <x:v>11</x:v>
      </x:c>
      <x:c r="B15" s="11" t="str">
        <x:v>dungeon_memory</x:v>
      </x:c>
      <x:c r="C15" s="11" t="str">
        <x:v>supported</x:v>
      </x:c>
      <x:c r="D15" s="11" t="str">
        <x:v>던전 플레이 메모리 사용량</x:v>
      </x:c>
      <x:c r="E15" s="11" t="str">
        <x:v>change</x:v>
      </x:c>
      <x:c r="F15" s="11" t="str">
        <x:v>enum</x:v>
      </x:c>
      <x:c r="G15" s="11" t="str">
        <x:v>["감소"]</x:v>
      </x:c>
      <x:c r="H15" s="11" t="n">
        <x:v>1</x:v>
      </x:c>
      <x:c r="I15" s="11" t="str">
        <x:v>던전 플레이 과정에서 발생하는 일부 비정상적인 메모리 사용량이 감소합니다.</x:v>
      </x:c>
      <x:c r="J15" s="11" t="str">
        <x:v>7/9(목) 정기점검 업데이트 안내</x:v>
      </x:c>
      <x:c r="K15" s="11" t="str">
        <x:v>document_sha256_d87ef4a96a0ca6cf4d658f37860b6d9f57347d0fb4743f03bb34907610692c97</x:v>
      </x:c>
      <x:c r="L15" s="11" t="str">
        <x:v>chunk_sha256_335e912feb7afd35d6f84f0f577b90bb62358201bedde54ff8784877dd910085</x:v>
      </x:c>
      <x:c r="M15" s="11" t="n">
        <x:v>75</x:v>
      </x:c>
      <x:c r="N15" s="11" t="n">
        <x:v>116</x:v>
      </x:c>
      <x:c r="O15" s="11" t="str">
        <x:v>https://df.nexon.com/community/news/update/2927913</x:v>
      </x:c>
    </x:row>
    <x:row r="16" ht="54" customHeight="1">
      <x:c r="A16" s="11" t="n">
        <x:v>11</x:v>
      </x:c>
      <x:c r="B16" s="11" t="str">
        <x:v>dx11_memory</x:v>
      </x:c>
      <x:c r="C16" s="11" t="str">
        <x:v>supported</x:v>
      </x:c>
      <x:c r="D16" s="11" t="str">
        <x:v>DirectX11 메모리 사용량 문제</x:v>
      </x:c>
      <x:c r="E16" s="11" t="str">
        <x:v>change</x:v>
      </x:c>
      <x:c r="F16" s="11" t="str">
        <x:v>enum</x:v>
      </x:c>
      <x:c r="G16" s="11" t="str">
        <x:v>["수정"]</x:v>
      </x:c>
      <x:c r="H16" s="11" t="n">
        <x:v>1</x:v>
      </x:c>
      <x:c r="I16" s="11" t="str">
        <x:v>DirectX11 이용 시 DirectX9 대비 메모리 사용량이 높은 현상이 수정됩니다.</x:v>
      </x:c>
      <x:c r="J16" s="11" t="str">
        <x:v>7/9(목) 정기점검 업데이트 안내</x:v>
      </x:c>
      <x:c r="K16" s="11" t="str">
        <x:v>document_sha256_d87ef4a96a0ca6cf4d658f37860b6d9f57347d0fb4743f03bb34907610692c97</x:v>
      </x:c>
      <x:c r="L16" s="11" t="str">
        <x:v>chunk_sha256_335e912feb7afd35d6f84f0f577b90bb62358201bedde54ff8784877dd910085</x:v>
      </x:c>
      <x:c r="M16" s="11" t="n">
        <x:v>123</x:v>
      </x:c>
      <x:c r="N16" s="11" t="n">
        <x:v>172</x:v>
      </x:c>
      <x:c r="O16" s="11" t="str">
        <x:v>https://df.nexon.com/community/news/update/2927913</x:v>
      </x:c>
    </x:row>
    <x:row r="17" ht="54" customHeight="1">
      <x:c r="A17" s="11" t="n">
        <x:v>12</x:v>
      </x:c>
      <x:c r="B17" s="11" t="str">
        <x:v>price</x:v>
      </x:c>
      <x:c r="C17" s="11" t="str">
        <x:v>supported</x:v>
      </x:c>
      <x:c r="D17" s="11" t="str">
        <x:v>태초 소울 1개 상자</x:v>
      </x:c>
      <x:c r="E17" s="11" t="str">
        <x:v>price</x:v>
      </x:c>
      <x:c r="F17" s="11" t="str">
        <x:v>currency</x:v>
      </x:c>
      <x:c r="G17" s="11" t="str">
        <x:v>[{"amount":120,"unit":"광휘의 잔영"}]</x:v>
      </x:c>
      <x:c r="H17" s="11" t="n">
        <x:v>1</x:v>
      </x:c>
      <x:c r="I17" s="11" t="str">
        <x:v>| 태초 소울 1개 상자 | 사용 시 태초 소울 1개를 획득할 수 있습니다. &lt;구매 가능 횟수&gt; - 월 4회 남은 구매 횟수는 최대 4회까지 다음달로 이월되어 적용됩니다. | 교환불가 | 광휘의 잔영 120개 | 계정당 월 4회 |</x:v>
      </x:c>
      <x:c r="J17" s="11" t="str">
        <x:v>5/28(목) 정기점검 업데이트 안내</x:v>
      </x:c>
      <x:c r="K17" s="11" t="str">
        <x:v>document_sha256_c647b13a7bdc33cea37f58a83827337fb410cc4cd6530cc1f24e02b0e900ccb3</x:v>
      </x:c>
      <x:c r="L17" s="11" t="str">
        <x:v>chunk_sha256_5b284aab49ae09f84883bf38acc9de2319359bd728b9c49d10ee171224679f3b</x:v>
      </x:c>
      <x:c r="M17" s="11" t="n">
        <x:v>231</x:v>
      </x:c>
      <x:c r="N17" s="11" t="n">
        <x:v>360</x:v>
      </x:c>
      <x:c r="O17" s="11" t="str">
        <x:v>https://df.nexon.com/community/news/update/2927522</x:v>
      </x:c>
    </x:row>
    <x:row r="18" ht="54" customHeight="1">
      <x:c r="A18" s="11" t="n">
        <x:v>12</x:v>
      </x:c>
      <x:c r="B18" s="11" t="str">
        <x:v>monthly_limit</x:v>
      </x:c>
      <x:c r="C18" s="11" t="str">
        <x:v>supported</x:v>
      </x:c>
      <x:c r="D18" s="11" t="str">
        <x:v>태초 소울 1개 상자</x:v>
      </x:c>
      <x:c r="E18" s="11" t="str">
        <x:v>purchase_limit</x:v>
      </x:c>
      <x:c r="F18" s="11" t="str">
        <x:v>number</x:v>
      </x:c>
      <x:c r="G18" s="11" t="str">
        <x:v>[4]</x:v>
      </x:c>
      <x:c r="H18" s="11" t="n">
        <x:v>1</x:v>
      </x:c>
      <x:c r="I18" s="11" t="str">
        <x:v>| 태초 소울 1개 상자 | 사용 시 태초 소울 1개를 획득할 수 있습니다. &lt;구매 가능 횟수&gt; - 월 4회 남은 구매 횟수는 최대 4회까지 다음달로 이월되어 적용됩니다. | 교환불가 | 광휘의 잔영 120개 | 계정당 월 4회 |</x:v>
      </x:c>
      <x:c r="J18" s="11" t="str">
        <x:v>5/28(목) 정기점검 업데이트 안내</x:v>
      </x:c>
      <x:c r="K18" s="11" t="str">
        <x:v>document_sha256_c647b13a7bdc33cea37f58a83827337fb410cc4cd6530cc1f24e02b0e900ccb3</x:v>
      </x:c>
      <x:c r="L18" s="11" t="str">
        <x:v>chunk_sha256_5b284aab49ae09f84883bf38acc9de2319359bd728b9c49d10ee171224679f3b</x:v>
      </x:c>
      <x:c r="M18" s="11" t="n">
        <x:v>231</x:v>
      </x:c>
      <x:c r="N18" s="11" t="n">
        <x:v>360</x:v>
      </x:c>
      <x:c r="O18" s="11" t="str">
        <x:v>https://df.nexon.com/community/news/update/2927522</x:v>
      </x:c>
    </x:row>
    <x:row r="19" ht="54" customHeight="1">
      <x:c r="A19" s="11" t="n">
        <x:v>13</x:v>
      </x:c>
      <x:c r="B19" s="11" t="str">
        <x:v>trade_type</x:v>
      </x:c>
      <x:c r="C19" s="11" t="str">
        <x:v>supported</x:v>
      </x:c>
      <x:c r="D19" s="11" t="str">
        <x:v>광휘의 잔영</x:v>
      </x:c>
      <x:c r="E19" s="11" t="str">
        <x:v>trade_type</x:v>
      </x:c>
      <x:c r="F19" s="11" t="str">
        <x:v>enum</x:v>
      </x:c>
      <x:c r="G19" s="11" t="str">
        <x:v>["교환불가"]</x:v>
      </x:c>
      <x:c r="H19" s="11" t="n">
        <x:v>1</x:v>
      </x:c>
      <x:c r="I19" s="11" t="str">
        <x:v>| 광휘의 잔영 | NPC 켈돈 자비 상점에서 다음 아이템 구매에 사용합니다. 태초 광휘의 의지 태초 소울 1개 상자 에픽 소울 1개 상자 영롱한 조율의 추 1개 상자 광휘의 잔영 1개 상자 (계정귀속) | 교환불가 |</x:v>
      </x:c>
      <x:c r="J19" s="11" t="str">
        <x:v>5/28(목) 정기점검 업데이트 안내</x:v>
      </x:c>
      <x:c r="K19" s="11" t="str">
        <x:v>document_sha256_c647b13a7bdc33cea37f58a83827337fb410cc4cd6530cc1f24e02b0e900ccb3</x:v>
      </x:c>
      <x:c r="L19" s="11" t="str">
        <x:v>chunk_sha256_d658e65e92811f98db96a65677a0a0c05bc4bb4579210e1fcf1b68fbb93c808d</x:v>
      </x:c>
      <x:c r="M19" s="11" t="n">
        <x:v>166</x:v>
      </x:c>
      <x:c r="N19" s="11" t="n">
        <x:v>288</x:v>
      </x:c>
      <x:c r="O19" s="11" t="str">
        <x:v>https://df.nexon.com/community/news/update/2927522</x:v>
      </x:c>
    </x:row>
    <x:row r="20" ht="54" customHeight="1">
      <x:c r="A20" s="11" t="n">
        <x:v>14</x:v>
      </x:c>
      <x:c r="B20" s="11" t="str">
        <x:v>effective_date</x:v>
      </x:c>
      <x:c r="C20" s="11" t="str">
        <x:v>supported</x:v>
      </x:c>
      <x:c r="D20" s="11" t="str">
        <x:v>시즌 11 Act 1</x:v>
      </x:c>
      <x:c r="E20" s="11" t="str">
        <x:v>effective_at</x:v>
      </x:c>
      <x:c r="F20" s="11" t="str">
        <x:v>date</x:v>
      </x:c>
      <x:c r="G20" s="11" t="str">
        <x:v>["2026-04-23"]</x:v>
      </x:c>
      <x:c r="H20" s="11" t="n">
        <x:v>1</x:v>
      </x:c>
      <x:c r="I20" s="11" t="str">
        <x:v>4/23(목) 점검 중 업데이트 되는 내용</x:v>
      </x:c>
      <x:c r="J20" s="11" t="str">
        <x:v>시즌 11 Act 1. 아포칼립스 : 안티엔바이</x:v>
      </x:c>
      <x:c r="K20" s="11" t="str">
        <x:v>document_sha256_c0f6428523ffb1bd849fe30fb4d4721315f5c0605f495da9c70c33b0ce2a7f23</x:v>
      </x:c>
      <x:c r="L20" s="11" t="str">
        <x:v>chunk_sha256_96764b73086b7d3e7439fdd4e5113025a0c57a427e260260817d0516bd96a4a1</x:v>
      </x:c>
      <x:c r="M20" s="11" t="n">
        <x:v>79</x:v>
      </x:c>
      <x:c r="N20" s="11" t="n">
        <x:v>102</x:v>
      </x:c>
      <x:c r="O20" s="11" t="str">
        <x:v>https://df.nexon.com/community/news/update/2927122</x:v>
      </x:c>
    </x:row>
    <x:row r="21" ht="54" customHeight="1">
      <x:c r="A21" s="11" t="n">
        <x:v>15</x:v>
      </x:c>
      <x:c r="B21" s="11" t="str">
        <x:v>fixed</x:v>
      </x:c>
      <x:c r="C21" s="11" t="str">
        <x:v>supported</x:v>
      </x:c>
      <x:c r="D21" s="11" t="str">
        <x:v>DirectX11 높은 메모리 사용량</x:v>
      </x:c>
      <x:c r="E21" s="11" t="str">
        <x:v>is_fixed</x:v>
      </x:c>
      <x:c r="F21" s="11" t="str">
        <x:v>boolean</x:v>
      </x:c>
      <x:c r="G21" s="11" t="str">
        <x:v>[true]</x:v>
      </x:c>
      <x:c r="H21" s="11" t="n">
        <x:v>1</x:v>
      </x:c>
      <x:c r="I21" s="11" t="str">
        <x:v>DirectX11 이용 시 DirectX9 대비 메모리 사용량이 높은 현상이 수정됩니다.</x:v>
      </x:c>
      <x:c r="J21" s="11" t="str">
        <x:v>7/9(목) 정기점검 업데이트 안내</x:v>
      </x:c>
      <x:c r="K21" s="11" t="str">
        <x:v>document_sha256_d87ef4a96a0ca6cf4d658f37860b6d9f57347d0fb4743f03bb34907610692c97</x:v>
      </x:c>
      <x:c r="L21" s="11" t="str">
        <x:v>chunk_sha256_335e912feb7afd35d6f84f0f577b90bb62358201bedde54ff8784877dd910085</x:v>
      </x:c>
      <x:c r="M21" s="11" t="n">
        <x:v>123</x:v>
      </x:c>
      <x:c r="N21" s="11" t="n">
        <x:v>172</x:v>
      </x:c>
      <x:c r="O21" s="11" t="str">
        <x:v>https://df.nexon.com/community/news/update/2927913</x:v>
      </x:c>
    </x:row>
    <x:row r="22" ht="54" customHeight="1">
      <x:c r="A22" s="11" t="n">
        <x:v>15</x:v>
      </x:c>
      <x:c r="B22" s="11" t="str">
        <x:v>reduction_percentage</x:v>
      </x:c>
      <x:c r="C22" s="11" t="str">
        <x:v>unsupported</x:v>
      </x:c>
      <x:c r="D22" s="11" t="str">
        <x:v>DirectX11 메모리 사용량</x:v>
      </x:c>
      <x:c r="E22" s="11" t="str">
        <x:v>reduction_percentage</x:v>
      </x:c>
      <x:c r="F22" s="11" t="str">
        <x:v>percentage</x:v>
      </x:c>
      <x:c r="G22" s="11" t="str">
        <x:v>[]</x:v>
      </x:c>
      <x:c r="H22" s="11" t="n">
        <x:v>0</x:v>
      </x:c>
      <x:c r="I22" s="11" t="str">
        <x:v>(공식 문서에서 근거 없음)</x:v>
      </x:c>
      <x:c r="J22" s="11" t="str">
        <x:v>7/9(목) 정기점검 업데이트 안내</x:v>
      </x:c>
      <x:c r="K22" s="11" t="str">
        <x:v>document_sha256_d87ef4a96a0ca6cf4d658f37860b6d9f57347d0fb4743f03bb34907610692c97</x:v>
      </x:c>
      <x:c r="L22" s="11"/>
      <x:c r="M22" s="11"/>
      <x:c r="N22" s="11"/>
      <x:c r="O22" s="11" t="str">
        <x:v>https://df.nexon.com/community/news/update/2927913</x:v>
      </x:c>
    </x:row>
    <x:row r="23" ht="54" customHeight="1">
      <x:c r="A23" s="11" t="n">
        <x:v>16</x:v>
      </x:c>
      <x:c r="B23" s="11" t="str">
        <x:v>improvement</x:v>
      </x:c>
      <x:c r="C23" s="11" t="str">
        <x:v>supported</x:v>
      </x:c>
      <x:c r="D23" s="11" t="str">
        <x:v>디레지에 레이드 던전 입장</x:v>
      </x:c>
      <x:c r="E23" s="11" t="str">
        <x:v>improvement</x:v>
      </x:c>
      <x:c r="F23" s="11" t="str">
        <x:v>text</x:v>
      </x:c>
      <x:c r="G23" s="11" t="str">
        <x:v>["로딩 속도"]</x:v>
      </x:c>
      <x:c r="H23" s="11" t="n">
        <x:v>1</x:v>
      </x:c>
      <x:c r="I23" s="11" t="str">
        <x:v>디레지에 레이드 - 던전 입장 시의 로딩 속도가 개선됩니다.</x:v>
      </x:c>
      <x:c r="J23" s="11" t="str">
        <x:v>7/9(목) 정기점검 업데이트 안내</x:v>
      </x:c>
      <x:c r="K23" s="11" t="str">
        <x:v>document_sha256_d87ef4a96a0ca6cf4d658f37860b6d9f57347d0fb4743f03bb34907610692c97</x:v>
      </x:c>
      <x:c r="L23" s="11" t="str">
        <x:v>chunk_sha256_335e912feb7afd35d6f84f0f577b90bb62358201bedde54ff8784877dd910085</x:v>
      </x:c>
      <x:c r="M23" s="11" t="n">
        <x:v>173</x:v>
      </x:c>
      <x:c r="N23" s="11" t="n">
        <x:v>206</x:v>
      </x:c>
      <x:c r="O23" s="11" t="str">
        <x:v>https://df.nexon.com/community/news/update/2927913</x:v>
      </x:c>
    </x:row>
    <x:row r="24" ht="54" customHeight="1">
      <x:c r="A24" s="11" t="n">
        <x:v>17</x:v>
      </x:c>
      <x:c r="B24" s="11" t="str">
        <x:v>event_period</x:v>
      </x:c>
      <x:c r="C24" s="11" t="str">
        <x:v>supported</x:v>
      </x:c>
      <x:c r="D24" s="11" t="str">
        <x:v>미라클의 해양 탐구 생활</x:v>
      </x:c>
      <x:c r="E24" s="11" t="str">
        <x:v>event_period</x:v>
      </x:c>
      <x:c r="F24" s="11" t="str">
        <x:v>date_range</x:v>
      </x:c>
      <x:c r="G24" s="11" t="str">
        <x:v>["2026-06-04","2026-08-27"]</x:v>
      </x:c>
      <x:c r="H24" s="11" t="n">
        <x:v>1</x:v>
      </x:c>
      <x:c r="I24" s="11" t="str">
        <x:v>이벤트 기간 : 2026년 6월 4일(목) 점검 후 ~ 8월 27일(목) 점검 전</x:v>
      </x:c>
      <x:c r="J24" s="11" t="str">
        <x:v>미라클의 해양 탐구 생활</x:v>
      </x:c>
      <x:c r="K24" s="11" t="str">
        <x:v>document_sha256_4f1c89ac2c57984bf9961dcc5a91510608ce28559bb2325c830c2f8040c31a09</x:v>
      </x:c>
      <x:c r="L24" s="11" t="str">
        <x:v>chunk_sha256_7d5d83b9c76f6df1a7dd1ad6b63725aa5f3ab83080ebc847768182660bf1688a</x:v>
      </x:c>
      <x:c r="M24" s="11" t="n">
        <x:v>32</x:v>
      </x:c>
      <x:c r="N24" s="11" t="n">
        <x:v>77</x:v>
      </x:c>
      <x:c r="O24" s="11" t="str">
        <x:v>https://df.nexon.com/pg/oceanmiracle</x:v>
      </x:c>
    </x:row>
    <x:row r="25" ht="54" customHeight="1">
      <x:c r="A25" s="11" t="n">
        <x:v>18</x:v>
      </x:c>
      <x:c r="B25" s="11" t="str">
        <x:v>applies_to_arena</x:v>
      </x:c>
      <x:c r="C25" s="11" t="str">
        <x:v>supported</x:v>
      </x:c>
      <x:c r="D25" s="11" t="str">
        <x:v>썸머 블라썸 이벤트 효과</x:v>
      </x:c>
      <x:c r="E25" s="11" t="str">
        <x:v>applies_to_duel_arena</x:v>
      </x:c>
      <x:c r="F25" s="11" t="str">
        <x:v>boolean</x:v>
      </x:c>
      <x:c r="G25" s="11" t="str">
        <x:v>[false]</x:v>
      </x:c>
      <x:c r="H25" s="11" t="n">
        <x:v>1</x:v>
      </x:c>
      <x:c r="I25" s="11" t="str">
        <x:v>결투장/위업의 기억/해방된 흉몽 챌린지/월드보스 : 감염지/디레지에 레이드/아포칼립스에서는 적용되지 않습니다.</x:v>
      </x:c>
      <x:c r="J25" s="11" t="str">
        <x:v>썸머 블라썸의 여름을 부탁해!</x:v>
      </x:c>
      <x:c r="K25" s="11" t="str">
        <x:v>document_sha256_92884bf5b5d46d212a6f4f689f35d17c4654efc1d4c39c70b3e3505a16420689</x:v>
      </x:c>
      <x:c r="L25" s="11" t="str">
        <x:v>chunk_sha256_f04ee395ae2417eab788807cfee1a6189c79acd2b12dd81360d5b40dd056eb37</x:v>
      </x:c>
      <x:c r="M25" s="11" t="n">
        <x:v>274</x:v>
      </x:c>
      <x:c r="N25" s="11" t="n">
        <x:v>335</x:v>
      </x:c>
      <x:c r="O25" s="11" t="str">
        <x:v>https://df.nexon.com/pg/summerblossom</x:v>
      </x:c>
    </x:row>
    <x:row r="26" ht="54" customHeight="1">
      <x:c r="A26" s="11" t="n">
        <x:v>19</x:v>
      </x:c>
      <x:c r="B26" s="11" t="str">
        <x:v>first_purchase_price</x:v>
      </x:c>
      <x:c r="C26" s="11" t="str">
        <x:v>supported</x:v>
      </x:c>
      <x:c r="D26" s="11" t="str">
        <x:v>[세라샵]2026 썸머 특제 피로도 30 회복의 비약 NO.1</x:v>
      </x:c>
      <x:c r="E26" s="11" t="str">
        <x:v>price</x:v>
      </x:c>
      <x:c r="F26" s="11" t="str">
        <x:v>currency</x:v>
      </x:c>
      <x:c r="G26" s="11" t="str">
        <x:v>[{"amount":500,"unit":"세라"}]</x:v>
      </x:c>
      <x:c r="H26" s="11" t="n">
        <x:v>1</x:v>
      </x:c>
      <x:c r="I26" s="11" t="str">
        <x:v>| 1회차 | | [세라샵]2026 썸머 특제 피로도 30 회복의 비약 NO.1 | 500세라 |</x:v>
      </x:c>
      <x:c r="J26" s="11" t="str">
        <x:v>썸머 특제 피로도 30 회복의 비약</x:v>
      </x:c>
      <x:c r="K26" s="11" t="str">
        <x:v>document_sha256_6bc3e01a673d4f734721e1291a8f5efff8e55e90114fd57981b5b73226afe888</x:v>
      </x:c>
      <x:c r="L26" s="11" t="str">
        <x:v>chunk_sha256_94379e20d73b98a29c63d351a0ed78a8551675f120ad178f57a1598091933f19</x:v>
      </x:c>
      <x:c r="M26" s="11" t="n">
        <x:v>701</x:v>
      </x:c>
      <x:c r="N26" s="11" t="n">
        <x:v>755</x:v>
      </x:c>
      <x:c r="O26" s="11" t="str">
        <x:v>https://df.nexon.com/community/news/seriashop/626</x:v>
      </x:c>
    </x:row>
    <x:row r="27" ht="54" customHeight="1">
      <x:c r="A27" s="11" t="n">
        <x:v>19</x:v>
      </x:c>
      <x:c r="B27" s="11" t="str">
        <x:v>seventh_purchase_price</x:v>
      </x:c>
      <x:c r="C27" s="11" t="str">
        <x:v>supported</x:v>
      </x:c>
      <x:c r="D27" s="11" t="str">
        <x:v>[세라샵]2026 썸머 특제 피로도 30 회복의 비약 NO.7</x:v>
      </x:c>
      <x:c r="E27" s="11" t="str">
        <x:v>price</x:v>
      </x:c>
      <x:c r="F27" s="11" t="str">
        <x:v>currency</x:v>
      </x:c>
      <x:c r="G27" s="11" t="str">
        <x:v>[{"amount":2000,"unit":"세라"}]</x:v>
      </x:c>
      <x:c r="H27" s="11" t="n">
        <x:v>1</x:v>
      </x:c>
      <x:c r="I27" s="11" t="str">
        <x:v>| 7회차 | | [세라샵]2026 썸머 특제 피로도 30 회복의 비약 NO.7 | 2,000세라 |</x:v>
      </x:c>
      <x:c r="J27" s="11" t="str">
        <x:v>썸머 특제 피로도 30 회복의 비약</x:v>
      </x:c>
      <x:c r="K27" s="11" t="str">
        <x:v>document_sha256_6bc3e01a673d4f734721e1291a8f5efff8e55e90114fd57981b5b73226afe888</x:v>
      </x:c>
      <x:c r="L27" s="11" t="str">
        <x:v>chunk_sha256_94379e20d73b98a29c63d351a0ed78a8551675f120ad178f57a1598091933f19</x:v>
      </x:c>
      <x:c r="M27" s="11" t="n">
        <x:v>1039</x:v>
      </x:c>
      <x:c r="N27" s="11" t="n">
        <x:v>1095</x:v>
      </x:c>
      <x:c r="O27" s="11" t="str">
        <x:v>https://df.nexon.com/community/news/seriashop/626</x:v>
      </x:c>
    </x:row>
    <x:row r="28" ht="54" customHeight="1">
      <x:c r="A28" s="11" t="n">
        <x:v>20</x:v>
      </x:c>
      <x:c r="B28" s="11" t="str">
        <x:v>broadcast_at</x:v>
      </x:c>
      <x:c r="C28" s="11" t="str">
        <x:v>supported</x:v>
      </x:c>
      <x:c r="D28" s="11" t="str">
        <x:v>미카엘라 프리뷰 방송</x:v>
      </x:c>
      <x:c r="E28" s="11" t="str">
        <x:v>broadcast_at</x:v>
      </x:c>
      <x:c r="F28" s="11" t="str">
        <x:v>datetime</x:v>
      </x:c>
      <x:c r="G28" s="11" t="str">
        <x:v>["2026-07-25T19:00:00+09:00"]</x:v>
      </x:c>
      <x:c r="H28" s="11" t="n">
        <x:v>1</x:v>
      </x:c>
      <x:c r="I28" s="11" t="str">
        <x:v>2026년 7월 25일(토) 오후 7시</x:v>
      </x:c>
      <x:c r="J28" s="11" t="str">
        <x:v>미카엘라 프리뷰 방송 안내</x:v>
      </x:c>
      <x:c r="K28" s="11" t="str">
        <x:v>document_sha256_8778ae28b6314bfa635fe5d28630b58ba0c3069571b18e4673b0f2c5ba3cc499</x:v>
      </x:c>
      <x:c r="L28" s="11" t="str">
        <x:v>chunk_sha256_f68c78778cef502069076dcf5a8935ca5145018198a723a2c892d0ae7f09e64f</x:v>
      </x:c>
      <x:c r="M28" s="11" t="n">
        <x:v>117</x:v>
      </x:c>
      <x:c r="N28" s="11" t="n">
        <x:v>138</x:v>
      </x:c>
      <x:c r="O28" s="11" t="str">
        <x:v>https://df.nexon.com/pg/michaelapreviewlive</x:v>
      </x:c>
    </x:row>
    <x:row r="29" ht="54" customHeight="1">
      <x:c r="A29" s="11" t="n">
        <x:v>20</x:v>
      </x:c>
      <x:c r="B29" s="11" t="str">
        <x:v>channels</x:v>
      </x:c>
      <x:c r="C29" s="11" t="str">
        <x:v>supported</x:v>
      </x:c>
      <x:c r="D29" s="11" t="str">
        <x:v>미카엘라 프리뷰 방송</x:v>
      </x:c>
      <x:c r="E29" s="11" t="str">
        <x:v>broadcast_channels</x:v>
      </x:c>
      <x:c r="F29" s="11" t="str">
        <x:v>entity_list</x:v>
      </x:c>
      <x:c r="G29" s="11" t="str">
        <x:v>["넥슨 라이브","던파TV"]</x:v>
      </x:c>
      <x:c r="H29" s="11" t="n">
        <x:v>1</x:v>
      </x:c>
      <x:c r="I29" s="11" t="str">
        <x:v>넥슨 라이브</x:v>
      </x:c>
      <x:c r="J29" s="11" t="str">
        <x:v>미카엘라 프리뷰 방송 안내</x:v>
      </x:c>
      <x:c r="K29" s="11" t="str">
        <x:v>document_sha256_8778ae28b6314bfa635fe5d28630b58ba0c3069571b18e4673b0f2c5ba3cc499</x:v>
      </x:c>
      <x:c r="L29" s="11" t="str">
        <x:v>chunk_sha256_f68c78778cef502069076dcf5a8935ca5145018198a723a2c892d0ae7f09e64f</x:v>
      </x:c>
      <x:c r="M29" s="11" t="n">
        <x:v>139</x:v>
      </x:c>
      <x:c r="N29" s="11" t="n">
        <x:v>145</x:v>
      </x:c>
      <x:c r="O29" s="11" t="str">
        <x:v>https://df.nexon.com/pg/michaelapreviewlive</x:v>
      </x:c>
    </x:row>
    <x:row r="30" ht="54" customHeight="1">
      <x:c r="A30" s="11" t="n">
        <x:v>20</x:v>
      </x:c>
      <x:c r="B30" s="11" t="str">
        <x:v>channels</x:v>
      </x:c>
      <x:c r="C30" s="11" t="str">
        <x:v>supported</x:v>
      </x:c>
      <x:c r="D30" s="11" t="str">
        <x:v>미카엘라 프리뷰 방송</x:v>
      </x:c>
      <x:c r="E30" s="11" t="str">
        <x:v>broadcast_channels</x:v>
      </x:c>
      <x:c r="F30" s="11" t="str">
        <x:v>entity_list</x:v>
      </x:c>
      <x:c r="G30" s="11" t="str">
        <x:v>["넥슨 라이브","던파TV"]</x:v>
      </x:c>
      <x:c r="H30" s="11" t="n">
        <x:v>2</x:v>
      </x:c>
      <x:c r="I30" s="11" t="str">
        <x:v>YouTube 던파TV 채널에서도 동시 송출됩니다.</x:v>
      </x:c>
      <x:c r="J30" s="11" t="str">
        <x:v>미카엘라 프리뷰 방송 안내</x:v>
      </x:c>
      <x:c r="K30" s="11" t="str">
        <x:v>document_sha256_8778ae28b6314bfa635fe5d28630b58ba0c3069571b18e4673b0f2c5ba3cc499</x:v>
      </x:c>
      <x:c r="L30" s="11" t="str">
        <x:v>chunk_sha256_56afe98d2c5e858fa24274290350f47eb3f7e7328217246f2a2eaeaff6a378c1</x:v>
      </x:c>
      <x:c r="M30" s="11" t="n">
        <x:v>75</x:v>
      </x:c>
      <x:c r="N30" s="11" t="n">
        <x:v>103</x:v>
      </x:c>
      <x:c r="O30" s="11" t="str">
        <x:v>https://df.nexon.com/pg/michaelapreviewlive</x:v>
      </x:c>
    </x:row>
    <x:row r="31" ht="54" customHeight="1">
      <x:c r="A31" s="11" t="n">
        <x:v>21</x:v>
      </x:c>
      <x:c r="B31" s="11" t="str">
        <x:v>attack_amplification</x:v>
      </x:c>
      <x:c r="C31" s="11" t="str">
        <x:v>supported</x:v>
      </x:c>
      <x:c r="D31" s="11" t="str">
        <x:v>운명을 담는 재단사 플래티넘</x:v>
      </x:c>
      <x:c r="E31" s="11" t="str">
        <x:v>attack_amplification</x:v>
      </x:c>
      <x:c r="F31" s="11" t="str">
        <x:v>percentage</x:v>
      </x:c>
      <x:c r="G31" s="11" t="str">
        <x:v>[40]</x:v>
      </x:c>
      <x:c r="H31" s="11" t="n">
        <x:v>1</x:v>
      </x:c>
      <x:c r="I31" s="11" t="str">
        <x:v>공격력 증폭 +40% 버프력 증폭 +10%</x:v>
      </x:c>
      <x:c r="J31" s="11" t="str">
        <x:v>파도 X 폭권 패키지</x:v>
      </x:c>
      <x:c r="K31" s="11" t="str">
        <x:v>document_sha256_11a284ad25122986b71b171ec6835c67d08383dbe6f9d6c283c385f28761ee1c</x:v>
      </x:c>
      <x:c r="L31" s="11" t="str">
        <x:v>chunk_sha256_3e856093aac7d3dcec46077118c9abfec39446512ae0f4b2fe66ca2a34edca9c</x:v>
      </x:c>
      <x:c r="M31" s="11" t="n">
        <x:v>91</x:v>
      </x:c>
      <x:c r="N31" s="11" t="n">
        <x:v>114</x:v>
      </x:c>
      <x:c r="O31" s="11" t="str">
        <x:v>https://df.nexon.com/pg/newcharacterpkg</x:v>
      </x:c>
    </x:row>
    <x:row r="32" ht="54" customHeight="1">
      <x:c r="A32" s="11" t="n">
        <x:v>21</x:v>
      </x:c>
      <x:c r="B32" s="11" t="str">
        <x:v>buff_amplification</x:v>
      </x:c>
      <x:c r="C32" s="11" t="str">
        <x:v>supported</x:v>
      </x:c>
      <x:c r="D32" s="11" t="str">
        <x:v>운명을 담는 재단사 플래티넘</x:v>
      </x:c>
      <x:c r="E32" s="11" t="str">
        <x:v>buff_amplification</x:v>
      </x:c>
      <x:c r="F32" s="11" t="str">
        <x:v>percentage</x:v>
      </x:c>
      <x:c r="G32" s="11" t="str">
        <x:v>[10]</x:v>
      </x:c>
      <x:c r="H32" s="11" t="n">
        <x:v>1</x:v>
      </x:c>
      <x:c r="I32" s="11" t="str">
        <x:v>공격력 증폭 +40% 버프력 증폭 +10%</x:v>
      </x:c>
      <x:c r="J32" s="11" t="str">
        <x:v>파도 X 폭권 패키지</x:v>
      </x:c>
      <x:c r="K32" s="11" t="str">
        <x:v>document_sha256_11a284ad25122986b71b171ec6835c67d08383dbe6f9d6c283c385f28761ee1c</x:v>
      </x:c>
      <x:c r="L32" s="11" t="str">
        <x:v>chunk_sha256_3e856093aac7d3dcec46077118c9abfec39446512ae0f4b2fe66ca2a34edca9c</x:v>
      </x:c>
      <x:c r="M32" s="11" t="n">
        <x:v>91</x:v>
      </x:c>
      <x:c r="N32" s="11" t="n">
        <x:v>114</x:v>
      </x:c>
      <x:c r="O32" s="11" t="str">
        <x:v>https://df.nexon.com/pg/newcharacterpkg</x:v>
      </x:c>
    </x:row>
    <x:row r="33" ht="54" customHeight="1">
      <x:c r="A33" s="11" t="n">
        <x:v>22</x:v>
      </x:c>
      <x:c r="B33" s="11" t="str">
        <x:v>class_cutoff</x:v>
      </x:c>
      <x:c r="C33" s="11" t="str">
        <x:v>supported</x:v>
      </x:c>
      <x:c r="D33" s="11" t="str">
        <x:v>2026 나비 무도회 직업 아바타</x:v>
      </x:c>
      <x:c r="E33" s="11" t="str">
        <x:v>revision_cutoff</x:v>
      </x:c>
      <x:c r="F33" s="11" t="str">
        <x:v>date</x:v>
      </x:c>
      <x:c r="G33" s="11" t="str">
        <x:v>["2026-05-28"]</x:v>
      </x:c>
      <x:c r="H33" s="11" t="n">
        <x:v>1</x:v>
      </x:c>
      <x:c r="I33" s="11" t="str">
        <x:v>2026년 5월 28일 기준 라이브 서버 업데이트가 완료된 직업의 아바타만 포함</x:v>
      </x:c>
      <x:c r="J33" s="11" t="str">
        <x:v>2026 나비 무도회 아바타 콤보 상자</x:v>
      </x:c>
      <x:c r="K33" s="11" t="str">
        <x:v>document_sha256_cbeaaf6d5b556092fd18380197f10416577450f6b11322159f05d329d2dbb888</x:v>
      </x:c>
      <x:c r="L33" s="11" t="str">
        <x:v>chunk_sha256_e527addc3710ba55549bfff64efbe7f3bcf5c8b5d0b1f04730e5998d11032a04</x:v>
      </x:c>
      <x:c r="M33" s="11" t="n">
        <x:v>124</x:v>
      </x:c>
      <x:c r="N33" s="11" t="n">
        <x:v>168</x:v>
      </x:c>
      <x:c r="O33" s="11" t="str">
        <x:v>https://df.nexon.com/pg/butterflycombo</x:v>
      </x:c>
    </x:row>
    <x:row r="34" ht="54" customHeight="1">
      <x:c r="A34" s="11" t="n">
        <x:v>23</x:v>
      </x:c>
      <x:c r="B34" s="11" t="str">
        <x:v>account_limit</x:v>
      </x:c>
      <x:c r="C34" s="11" t="str">
        <x:v>supported</x:v>
      </x:c>
      <x:c r="D34" s="11" t="str">
        <x:v>이벤트 퀘스트 보상</x:v>
      </x:c>
      <x:c r="E34" s="11" t="str">
        <x:v>account_receive_limit</x:v>
      </x:c>
      <x:c r="F34" s="11" t="str">
        <x:v>number</x:v>
      </x:c>
      <x:c r="G34" s="11" t="str">
        <x:v>[1]</x:v>
      </x:c>
      <x:c r="H34" s="11" t="n">
        <x:v>1</x:v>
      </x:c>
      <x:c r="I34" s="11" t="str">
        <x:v>이벤트 퀘스트 보상은 넥슨플레이에서 각 계정당 1회 받을 수 있습니다.</x:v>
      </x:c>
      <x:c r="J34" s="11" t="str">
        <x:v>넥플과 함께! 뉴 페이스! 핫 썸머!</x:v>
      </x:c>
      <x:c r="K34" s="11" t="str">
        <x:v>document_sha256_be8b6779be9c6e78e5ea8d77c6b03a6d35b5d6ce2dcf98f44ee21dd969020850</x:v>
      </x:c>
      <x:c r="L34" s="11" t="str">
        <x:v>chunk_sha256_8e081d606fa59adea88d30cdd7f17ed14ca5ba031b674c7d39e459f6b4f0c603</x:v>
      </x:c>
      <x:c r="M34" s="11" t="n">
        <x:v>60</x:v>
      </x:c>
      <x:c r="N34" s="11" t="n">
        <x:v>99</x:v>
      </x:c>
      <x:c r="O34" s="11" t="str">
        <x:v>https://df.nexon.com/pr/newfacewithnxp</x:v>
      </x:c>
    </x:row>
    <x:row r="35" ht="54" customHeight="1">
      <x:c r="A35" s="11" t="n">
        <x:v>23</x:v>
      </x:c>
      <x:c r="B35" s="11" t="str">
        <x:v>remaining_stock</x:v>
      </x:c>
      <x:c r="C35" s="11" t="str">
        <x:v>unsupported</x:v>
      </x:c>
      <x:c r="D35" s="11" t="str">
        <x:v>이벤트 퀘스트 보상</x:v>
      </x:c>
      <x:c r="E35" s="11" t="str">
        <x:v>remaining_stock</x:v>
      </x:c>
      <x:c r="F35" s="11" t="str">
        <x:v>number</x:v>
      </x:c>
      <x:c r="G35" s="11" t="str">
        <x:v>[]</x:v>
      </x:c>
      <x:c r="H35" s="11" t="n">
        <x:v>0</x:v>
      </x:c>
      <x:c r="I35" s="11" t="str">
        <x:v>(공식 문서에서 근거 없음)</x:v>
      </x:c>
      <x:c r="J35" s="11" t="str">
        <x:v>넥플과 함께! 뉴 페이스! 핫 썸머!</x:v>
      </x:c>
      <x:c r="K35" s="11" t="str">
        <x:v>document_sha256_be8b6779be9c6e78e5ea8d77c6b03a6d35b5d6ce2dcf98f44ee21dd969020850</x:v>
      </x:c>
      <x:c r="L35" s="11"/>
      <x:c r="M35" s="11"/>
      <x:c r="N35" s="11"/>
      <x:c r="O35" s="11" t="str">
        <x:v>https://df.nexon.com/pr/newfacewithnxp</x:v>
      </x:c>
    </x:row>
    <x:row r="36" ht="54" customHeight="1">
      <x:c r="A36" s="11" t="n">
        <x:v>24</x:v>
      </x:c>
      <x:c r="B36" s="11" t="str">
        <x:v>coupon_limit</x:v>
      </x:c>
      <x:c r="C36" s="11" t="str">
        <x:v>supported</x:v>
      </x:c>
      <x:c r="D36" s="11" t="str">
        <x:v>제국기사 X 인파이터(여) 특별 선물 쿠폰</x:v>
      </x:c>
      <x:c r="E36" s="11" t="str">
        <x:v>account_input_limit</x:v>
      </x:c>
      <x:c r="F36" s="11" t="str">
        <x:v>number</x:v>
      </x:c>
      <x:c r="G36" s="11" t="str">
        <x:v>[1]</x:v>
      </x:c>
      <x:c r="H36" s="11" t="n">
        <x:v>1</x:v>
      </x:c>
      <x:c r="I36" s="11" t="str">
        <x:v>쿠폰은 계정당 1회 입력 가능합니다.</x:v>
      </x:c>
      <x:c r="J36" s="11" t="str">
        <x:v>제국기사 X 인파이터(여) 특별 선물</x:v>
      </x:c>
      <x:c r="K36" s="11" t="str">
        <x:v>document_sha256_6c614e368d890558c7107d6c26d82ef08958bea78fbc3766b565a78e0b2bc048</x:v>
      </x:c>
      <x:c r="L36" s="11" t="str">
        <x:v>chunk_sha256_9c22ce283a3b486e969e909ef7686caad4c3f10a8febcb568b81feb6e2d996c8</x:v>
      </x:c>
      <x:c r="M36" s="11" t="n">
        <x:v>6</x:v>
      </x:c>
      <x:c r="N36" s="11" t="n">
        <x:v>26</x:v>
      </x:c>
      <x:c r="O36" s="11" t="str">
        <x:v>https://df.nexon.com/pr/2026newchargift</x:v>
      </x:c>
    </x:row>
    <x:row r="37" ht="54" customHeight="1">
      <x:c r="A37" s="11" t="n">
        <x:v>25</x:v>
      </x:c>
      <x:c r="B37" s="11" t="str">
        <x:v>daily_reset_time</x:v>
      </x:c>
      <x:c r="C37" s="11" t="str">
        <x:v>supported</x:v>
      </x:c>
      <x:c r="D37" s="11" t="str">
        <x:v>던파ON 출석체크</x:v>
      </x:c>
      <x:c r="E37" s="11" t="str">
        <x:v>daily_reset_time</x:v>
      </x:c>
      <x:c r="F37" s="11" t="str">
        <x:v>enum</x:v>
      </x:c>
      <x:c r="G37" s="11" t="str">
        <x:v>["06:00"]</x:v>
      </x:c>
      <x:c r="H37" s="11" t="n">
        <x:v>1</x:v>
      </x:c>
      <x:c r="I37" s="11" t="str">
        <x:v>출석체크는 매일 06시를 기준으로 갱신됩니다.</x:v>
      </x:c>
      <x:c r="J37" s="11" t="str">
        <x:v>던파ON 포인트 교환소</x:v>
      </x:c>
      <x:c r="K37" s="11" t="str">
        <x:v>document_sha256_b7bc843187a068ea6f4781b051c77e872a203cbe726dd21f09b10ce9e52e0c25</x:v>
      </x:c>
      <x:c r="L37" s="11" t="str">
        <x:v>chunk_sha256_ecbd48044df650c1df8ce923008c63f5ecf780be047fd761ca8f9518369f015e</x:v>
      </x:c>
      <x:c r="M37" s="11" t="n">
        <x:v>92</x:v>
      </x:c>
      <x:c r="N37" s="11" t="n">
        <x:v>117</x:v>
      </x:c>
      <x:c r="O37" s="11" t="str">
        <x:v>https://df.nexon.com/guide?no=1326</x:v>
      </x:c>
    </x:row>
    <x:row r="38" ht="54" customHeight="1">
      <x:c r="A38" s="11" t="n">
        <x:v>25</x:v>
      </x:c>
      <x:c r="B38" s="11" t="str">
        <x:v>weekly_reset_at</x:v>
      </x:c>
      <x:c r="C38" s="11" t="str">
        <x:v>supported</x:v>
      </x:c>
      <x:c r="D38" s="11" t="str">
        <x:v>던파ON 보상 교환</x:v>
      </x:c>
      <x:c r="E38" s="11" t="str">
        <x:v>weekly_reset_at</x:v>
      </x:c>
      <x:c r="F38" s="11" t="str">
        <x:v>enum</x:v>
      </x:c>
      <x:c r="G38" s="11" t="str">
        <x:v>["매주 목요일 오전 6시"]</x:v>
      </x:c>
      <x:c r="H38" s="11" t="n">
        <x:v>1</x:v>
      </x:c>
      <x:c r="I38" s="11" t="str">
        <x:v>1주 기준은 매주 목요일 오전 6시</x:v>
      </x:c>
      <x:c r="J38" s="11" t="str">
        <x:v>던파ON 포인트 교환소</x:v>
      </x:c>
      <x:c r="K38" s="11" t="str">
        <x:v>document_sha256_b7bc843187a068ea6f4781b051c77e872a203cbe726dd21f09b10ce9e52e0c25</x:v>
      </x:c>
      <x:c r="L38" s="11" t="str">
        <x:v>chunk_sha256_6e8d119cb7eb75d41cbb6524549de7f332d4f962085797df8b9d68e1fad174be</x:v>
      </x:c>
      <x:c r="M38" s="11" t="n">
        <x:v>78</x:v>
      </x:c>
      <x:c r="N38" s="11" t="n">
        <x:v>97</x:v>
      </x:c>
      <x:c r="O38" s="11" t="str">
        <x:v>https://df.nexon.com/guide?no=1326</x:v>
      </x:c>
    </x:row>
    <x:row r="39" ht="54" customHeight="1">
      <x:c r="A39" s="11" t="n">
        <x:v>26</x:v>
      </x:c>
      <x:c r="B39" s="11" t="str">
        <x:v>cross_channel_trade</x:v>
      </x:c>
      <x:c r="C39" s="11" t="str">
        <x:v>supported</x:v>
      </x:c>
      <x:c r="D39" s="11" t="str">
        <x:v>트레이드</x:v>
      </x:c>
      <x:c r="E39" s="11" t="str">
        <x:v>can_request_cross_channel</x:v>
      </x:c>
      <x:c r="F39" s="11" t="str">
        <x:v>boolean</x:v>
      </x:c>
      <x:c r="G39" s="11" t="str">
        <x:v>[false]</x:v>
      </x:c>
      <x:c r="H39" s="11" t="n">
        <x:v>1</x:v>
      </x:c>
      <x:c r="I39" s="11" t="str">
        <x:v>다른 채널에 접속한 캐릭터에게는 트레이드를 신청할 수 없습니다.</x:v>
      </x:c>
      <x:c r="J39" s="11" t="str">
        <x:v>트레이드</x:v>
      </x:c>
      <x:c r="K39" s="11" t="str">
        <x:v>document_sha256_15bd7d49ee6067b02b600bb64ea81bf9e9272b5c70820eb819bcf224cde1942a</x:v>
      </x:c>
      <x:c r="L39" s="11" t="str">
        <x:v>chunk_sha256_10bd08402e9be2679be178b8422de4d86ae8856ff317923762d10e29112a661b</x:v>
      </x:c>
      <x:c r="M39" s="11" t="n">
        <x:v>47</x:v>
      </x:c>
      <x:c r="N39" s="11" t="n">
        <x:v>82</x:v>
      </x:c>
      <x:c r="O39" s="11" t="str">
        <x:v>https://df.nexon.com/guide?no=1286</x:v>
      </x:c>
    </x:row>
    <x:row r="40" ht="54" customHeight="1">
      <x:c r="A40" s="11" t="n">
        <x:v>27</x:v>
      </x:c>
      <x:c r="B40" s="11" t="str">
        <x:v>base_fee</x:v>
      </x:c>
      <x:c r="C40" s="11" t="str">
        <x:v>supported</x:v>
      </x:c>
      <x:c r="D40" s="11" t="str">
        <x:v>트레이드</x:v>
      </x:c>
      <x:c r="E40" s="11" t="str">
        <x:v>base_fee</x:v>
      </x:c>
      <x:c r="F40" s="11" t="str">
        <x:v>percentage</x:v>
      </x:c>
      <x:c r="G40" s="11" t="str">
        <x:v>[3]</x:v>
      </x:c>
      <x:c r="H40" s="11" t="n">
        <x:v>1</x:v>
      </x:c>
      <x:c r="I40" s="11" t="str">
        <x:v>트레이드 시에는 3%의 수수료가 부과됩니다.</x:v>
      </x:c>
      <x:c r="J40" s="11" t="str">
        <x:v>트레이드</x:v>
      </x:c>
      <x:c r="K40" s="11" t="str">
        <x:v>document_sha256_15bd7d49ee6067b02b600bb64ea81bf9e9272b5c70820eb819bcf224cde1942a</x:v>
      </x:c>
      <x:c r="L40" s="11" t="str">
        <x:v>chunk_sha256_062cf0c88225fa6fb860cd0cb4a38b2adce8b4a8560d1cf70f01eb0298742463</x:v>
      </x:c>
      <x:c r="M40" s="11" t="n">
        <x:v>48</x:v>
      </x:c>
      <x:c r="N40" s="11" t="n">
        <x:v>72</x:v>
      </x:c>
      <x:c r="O40" s="11" t="str">
        <x:v>https://df.nexon.com/guide?no=1286</x:v>
      </x:c>
    </x:row>
    <x:row r="41" ht="54" customHeight="1">
      <x:c r="A41" s="11" t="n">
        <x:v>27</x:v>
      </x:c>
      <x:c r="B41" s="11" t="str">
        <x:v>equipment_extra_fee</x:v>
      </x:c>
      <x:c r="C41" s="11" t="str">
        <x:v>supported</x:v>
      </x:c>
      <x:c r="D41" s="11" t="str">
        <x:v>장비류 아이템 트레이드</x:v>
      </x:c>
      <x:c r="E41" s="11" t="str">
        <x:v>additional_fee</x:v>
      </x:c>
      <x:c r="F41" s="11" t="str">
        <x:v>percentage</x:v>
      </x:c>
      <x:c r="G41" s="11" t="str">
        <x:v>[2]</x:v>
      </x:c>
      <x:c r="H41" s="11" t="n">
        <x:v>1</x:v>
      </x:c>
      <x:c r="I41" s="11" t="str">
        <x:v>장비류 아이템인 경우에는 2%의 수수료가 추가로 부과됩니다.(총 5%)</x:v>
      </x:c>
      <x:c r="J41" s="11" t="str">
        <x:v>트레이드</x:v>
      </x:c>
      <x:c r="K41" s="11" t="str">
        <x:v>document_sha256_15bd7d49ee6067b02b600bb64ea81bf9e9272b5c70820eb819bcf224cde1942a</x:v>
      </x:c>
      <x:c r="L41" s="11" t="str">
        <x:v>chunk_sha256_062cf0c88225fa6fb860cd0cb4a38b2adce8b4a8560d1cf70f01eb0298742463</x:v>
      </x:c>
      <x:c r="M41" s="11" t="n">
        <x:v>83</x:v>
      </x:c>
      <x:c r="N41" s="11" t="n">
        <x:v>122</x:v>
      </x:c>
      <x:c r="O41" s="11" t="str">
        <x:v>https://df.nexon.com/guide?no=1286</x:v>
      </x:c>
    </x:row>
    <x:row r="42" ht="54" customHeight="1">
      <x:c r="A42" s="11" t="n">
        <x:v>28</x:v>
      </x:c>
      <x:c r="B42" s="11" t="str">
        <x:v>required_level</x:v>
      </x:c>
      <x:c r="C42" s="11" t="str">
        <x:v>supported</x:v>
      </x:c>
      <x:c r="D42" s="11" t="str">
        <x:v>인형사 전문직업</x:v>
      </x:c>
      <x:c r="E42" s="11" t="str">
        <x:v>required_character_level</x:v>
      </x:c>
      <x:c r="F42" s="11" t="str">
        <x:v>number</x:v>
      </x:c>
      <x:c r="G42" s="11" t="str">
        <x:v>[20]</x:v>
      </x:c>
      <x:c r="H42" s="11" t="n">
        <x:v>1</x:v>
      </x:c>
      <x:c r="I42" s="11" t="str">
        <x:v>캐릭터 20레벨을 달성하면</x:v>
      </x:c>
      <x:c r="J42" s="11" t="str">
        <x:v>인형사</x:v>
      </x:c>
      <x:c r="K42" s="11" t="str">
        <x:v>document_sha256_053ed5d126b92b3f43c8da673929c088b52ba852356ce0bd2291e606cd642fae</x:v>
      </x:c>
      <x:c r="L42" s="11" t="str">
        <x:v>chunk_sha256_24eca6ca4822155ef952fa759e98dcd41c7cc44dc9132c90d0775665315eed40</x:v>
      </x:c>
      <x:c r="M42" s="11" t="n">
        <x:v>76</x:v>
      </x:c>
      <x:c r="N42" s="11" t="n">
        <x:v>90</x:v>
      </x:c>
      <x:c r="O42" s="11" t="str">
        <x:v>https://df.nexon.com/guide?no=1270</x:v>
      </x:c>
    </x:row>
    <x:row r="43" ht="54" customHeight="1">
      <x:c r="A43" s="11" t="n">
        <x:v>28</x:v>
      </x:c>
      <x:c r="B43" s="11" t="str">
        <x:v>cube_quantity</x:v>
      </x:c>
      <x:c r="C43" s="11" t="str">
        <x:v>supported</x:v>
      </x:c>
      <x:c r="D43" s="11" t="str">
        <x:v>인형사 전문직업</x:v>
      </x:c>
      <x:c r="E43" s="11" t="str">
        <x:v>required_colorless_cube_fragments</x:v>
      </x:c>
      <x:c r="F43" s="11" t="str">
        <x:v>number</x:v>
      </x:c>
      <x:c r="G43" s="11" t="str">
        <x:v>[100]</x:v>
      </x:c>
      <x:c r="H43" s="11" t="n">
        <x:v>1</x:v>
      </x:c>
      <x:c r="I43" s="11" t="str">
        <x:v>무색 큐브 조각 100개를 가져가면</x:v>
      </x:c>
      <x:c r="J43" s="11" t="str">
        <x:v>인형사</x:v>
      </x:c>
      <x:c r="K43" s="11" t="str">
        <x:v>document_sha256_053ed5d126b92b3f43c8da673929c088b52ba852356ce0bd2291e606cd642fae</x:v>
      </x:c>
      <x:c r="L43" s="11" t="str">
        <x:v>chunk_sha256_24eca6ca4822155ef952fa759e98dcd41c7cc44dc9132c90d0775665315eed40</x:v>
      </x:c>
      <x:c r="M43" s="11" t="n">
        <x:v>145</x:v>
      </x:c>
      <x:c r="N43" s="11" t="n">
        <x:v>164</x:v>
      </x:c>
      <x:c r="O43" s="11" t="str">
        <x:v>https://df.nexon.com/guide?no=1270</x:v>
      </x:c>
    </x:row>
    <x:row r="44" ht="54" customHeight="1">
      <x:c r="A44" s="11" t="n">
        <x:v>29</x:v>
      </x:c>
      <x:c r="B44" s="11" t="str">
        <x:v>displayed_information</x:v>
      </x:c>
      <x:c r="C44" s="11" t="str">
        <x:v>supported</x:v>
      </x:c>
      <x:c r="D44" s="11" t="str">
        <x:v>화면 설명 ②</x:v>
      </x:c>
      <x:c r="E44" s="11" t="str">
        <x:v>displayed_information</x:v>
      </x:c>
      <x:c r="F44" s="11" t="str">
        <x:v>text</x:v>
      </x:c>
      <x:c r="G44" s="11" t="str">
        <x:v>["캐릭터에게 적용 중인 효과"]</x:v>
      </x:c>
      <x:c r="H44" s="11" t="n">
        <x:v>1</x:v>
      </x:c>
      <x:c r="I44" s="11" t="str">
        <x:v>| ② | 캐릭터에게 적용되고 있는 효과</x:v>
      </x:c>
      <x:c r="J44" s="11" t="str">
        <x:v>화면 설명</x:v>
      </x:c>
      <x:c r="K44" s="11" t="str">
        <x:v>document_sha256_12f470e556d6b7e792cdf7233eb51200f3b2259b1972c81e6cca66fb22fb75c0</x:v>
      </x:c>
      <x:c r="L44" s="11" t="str">
        <x:v>chunk_sha256_d866e83b7ea12adc742c6909bb466eb0871dcad6a75d7fb31e919aeaa4392d36</x:v>
      </x:c>
      <x:c r="M44" s="11" t="n">
        <x:v>102</x:v>
      </x:c>
      <x:c r="N44" s="11" t="n">
        <x:v>124</x:v>
      </x:c>
      <x:c r="O44" s="11" t="str">
        <x:v>https://df.nexon.com/guide?no=1292</x:v>
      </x:c>
    </x:row>
    <x:row r="45" ht="54" customHeight="1">
      <x:c r="A45" s="11" t="n">
        <x:v>29</x:v>
      </x:c>
      <x:c r="B45" s="11" t="str">
        <x:v>control_keys</x:v>
      </x:c>
      <x:c r="C45" s="11" t="str">
        <x:v>supported</x:v>
      </x:c>
      <x:c r="D45" s="11" t="str">
        <x:v>화면 설명 ②</x:v>
      </x:c>
      <x:c r="E45" s="11" t="str">
        <x:v>control_keys</x:v>
      </x:c>
      <x:c r="F45" s="11" t="str">
        <x:v>text</x:v>
      </x:c>
      <x:c r="G45" s="11" t="str">
        <x:v>["키보드 1~6"]</x:v>
      </x:c>
      <x:c r="H45" s="11" t="n">
        <x:v>1</x:v>
      </x:c>
      <x:c r="I45" s="11" t="str">
        <x:v>키보드 1~6</x:v>
      </x:c>
      <x:c r="J45" s="11" t="str">
        <x:v>화면 설명</x:v>
      </x:c>
      <x:c r="K45" s="11" t="str">
        <x:v>document_sha256_12f470e556d6b7e792cdf7233eb51200f3b2259b1972c81e6cca66fb22fb75c0</x:v>
      </x:c>
      <x:c r="L45" s="11" t="str">
        <x:v>chunk_sha256_d866e83b7ea12adc742c6909bb466eb0871dcad6a75d7fb31e919aeaa4392d36</x:v>
      </x:c>
      <x:c r="M45" s="11" t="n">
        <x:v>159</x:v>
      </x:c>
      <x:c r="N45" s="11" t="n">
        <x:v>166</x:v>
      </x:c>
      <x:c r="O45" s="11" t="str">
        <x:v>https://df.nexon.com/guide?no=1292</x:v>
      </x:c>
    </x:row>
    <x:row r="46" ht="54" customHeight="1">
      <x:c r="A46" s="11" t="n">
        <x:v>30</x:v>
      </x:c>
      <x:c r="B46" s="11" t="str">
        <x:v>supported_levels</x:v>
      </x:c>
      <x:c r="C46" s="11" t="str">
        <x:v>supported</x:v>
      </x:c>
      <x:c r="D46" s="11" t="str">
        <x:v>장비 시뮬레이터</x:v>
      </x:c>
      <x:c r="E46" s="11" t="str">
        <x:v>supported_equipment_levels</x:v>
      </x:c>
      <x:c r="F46" s="11" t="str">
        <x:v>entity_list</x:v>
      </x:c>
      <x:c r="G46" s="11" t="str">
        <x:v>[110,115]</x:v>
      </x:c>
      <x:c r="H46" s="11" t="n">
        <x:v>1</x:v>
      </x:c>
      <x:c r="I46" s="11" t="str">
        <x:v>110레벨 장비 또는 115레벨 장비</x:v>
      </x:c>
      <x:c r="J46" s="11" t="str">
        <x:v>[시스템] 장비 시뮬레이터</x:v>
      </x:c>
      <x:c r="K46" s="11" t="str">
        <x:v>document_sha256_13859d266b067df0fd3bd0d1306d3f05eb676603aea78af25add514935864db0</x:v>
      </x:c>
      <x:c r="L46" s="11" t="str">
        <x:v>chunk_sha256_13df4db71148e20bbb4b7e34ae563a8c06841d4063dcbf175dc4a81bf6d2472c</x:v>
      </x:c>
      <x:c r="M46" s="11" t="n">
        <x:v>12</x:v>
      </x:c>
      <x:c r="N46" s="11" t="n">
        <x:v>32</x:v>
      </x:c>
      <x:c r="O46" s="11" t="str">
        <x:v>https://df.nexon.com/guide?no=1494</x:v>
      </x:c>
    </x:row>
    <x:row r="47" ht="54" customHeight="1">
      <x:c r="A47" s="11" t="n">
        <x:v>31</x:v>
      </x:c>
      <x:c r="B47" s="11" t="str">
        <x:v>part_count</x:v>
      </x:c>
      <x:c r="C47" s="11" t="str">
        <x:v>supported</x:v>
      </x:c>
      <x:c r="D47" s="11" t="str">
        <x:v>아바타</x:v>
      </x:c>
      <x:c r="E47" s="11" t="str">
        <x:v>part_count</x:v>
      </x:c>
      <x:c r="F47" s="11" t="str">
        <x:v>number</x:v>
      </x:c>
      <x:c r="G47" s="11" t="str">
        <x:v>[11]</x:v>
      </x:c>
      <x:c r="H47" s="11" t="n">
        <x:v>1</x:v>
      </x:c>
      <x:c r="I47" s="11" t="str">
        <x:v>오라, 총 11부위</x:v>
      </x:c>
      <x:c r="J47" s="11" t="str">
        <x:v>아바타</x:v>
      </x:c>
      <x:c r="K47" s="11" t="str">
        <x:v>document_sha256_1625601cede341b4c5ef6235709498e386314876a9722893b369a703c3d73afc</x:v>
      </x:c>
      <x:c r="L47" s="11" t="str">
        <x:v>chunk_sha256_bcf28abc5dd98b5cf51d320250feced852e990d1eacf3cfaeb5e59e32eca5780</x:v>
      </x:c>
      <x:c r="M47" s="11" t="n">
        <x:v>157</x:v>
      </x:c>
      <x:c r="N47" s="11" t="n">
        <x:v>167</x:v>
      </x:c>
      <x:c r="O47" s="11" t="str">
        <x:v>https://df.nexon.com/guide?no=1280</x:v>
      </x:c>
    </x:row>
    <x:row r="48" ht="54" customHeight="1">
      <x:c r="A48" s="11" t="n">
        <x:v>31</x:v>
      </x:c>
      <x:c r="B48" s="11" t="str">
        <x:v>preset_limit</x:v>
      </x:c>
      <x:c r="C48" s="11" t="str">
        <x:v>unsupported</x:v>
      </x:c>
      <x:c r="D48" s="11" t="str">
        <x:v>아바타 프리셋</x:v>
      </x:c>
      <x:c r="E48" s="11" t="str">
        <x:v>maximum_saved_presets</x:v>
      </x:c>
      <x:c r="F48" s="11" t="str">
        <x:v>number</x:v>
      </x:c>
      <x:c r="G48" s="11" t="str">
        <x:v>[]</x:v>
      </x:c>
      <x:c r="H48" s="11" t="n">
        <x:v>0</x:v>
      </x:c>
      <x:c r="I48" s="11" t="str">
        <x:v>(공식 문서에서 근거 없음)</x:v>
      </x:c>
      <x:c r="J48" s="11" t="str">
        <x:v>아바타</x:v>
      </x:c>
      <x:c r="K48" s="11" t="str">
        <x:v>document_sha256_1625601cede341b4c5ef6235709498e386314876a9722893b369a703c3d73afc</x:v>
      </x:c>
      <x:c r="L48" s="11"/>
      <x:c r="M48" s="11"/>
      <x:c r="N48" s="11"/>
      <x:c r="O48" s="11" t="str">
        <x:v>https://df.nexon.com/guide?no=1280</x:v>
      </x:c>
    </x:row>
    <x:row r="49" ht="54" customHeight="1">
      <x:c r="A49" s="11" t="n">
        <x:v>32</x:v>
      </x:c>
      <x:c r="B49" s="11" t="str">
        <x:v>location</x:v>
      </x:c>
      <x:c r="C49" s="11" t="str">
        <x:v>supported</x:v>
      </x:c>
      <x:c r="D49" s="11" t="str">
        <x:v>스킬별 제압력 수치</x:v>
      </x:c>
      <x:c r="E49" s="11" t="str">
        <x:v>lookup_location</x:v>
      </x:c>
      <x:c r="F49" s="11" t="str">
        <x:v>text</x:v>
      </x:c>
      <x:c r="G49" s="11" t="str">
        <x:v>["스킬 정보(툴팁)"]</x:v>
      </x:c>
      <x:c r="H49" s="11" t="n">
        <x:v>1</x:v>
      </x:c>
      <x:c r="I49" s="11" t="str">
        <x:v>각 스킬의 제압력 수치는 스킬 정보(툴팁)에서 확인 가능합니다.</x:v>
      </x:c>
      <x:c r="J49" s="11" t="str">
        <x:v>[전투] 제압</x:v>
      </x:c>
      <x:c r="K49" s="11" t="str">
        <x:v>document_sha256_01e9021ffc3f1842e206c3502c2da70306d8264a3a4ce4cf04edec6044d248bd</x:v>
      </x:c>
      <x:c r="L49" s="11" t="str">
        <x:v>chunk_sha256_f420c121878a83f26ba93fd24eef208b908493a3cfc206d4e4c80622610b615f</x:v>
      </x:c>
      <x:c r="M49" s="11" t="n">
        <x:v>171</x:v>
      </x:c>
      <x:c r="N49" s="11" t="n">
        <x:v>206</x:v>
      </x:c>
      <x:c r="O49" s="11" t="str">
        <x:v>https://df.nexon.com/guide?no=1526</x:v>
      </x:c>
    </x:row>
    <x:row r="50" ht="54" customHeight="1">
      <x:c r="A50" s="11" t="n">
        <x:v>33</x:v>
      </x:c>
      <x:c r="B50" s="11" t="str">
        <x:v>withdrawal_period</x:v>
      </x:c>
      <x:c r="C50" s="11" t="str">
        <x:v>supported</x:v>
      </x:c>
      <x:c r="D50" s="11" t="str">
        <x:v>세라 아이템 청약철회</x:v>
      </x:c>
      <x:c r="E50" s="11" t="str">
        <x:v>withdrawal_period_days</x:v>
      </x:c>
      <x:c r="F50" s="11" t="str">
        <x:v>number</x:v>
      </x:c>
      <x:c r="G50" s="11" t="str">
        <x:v>[7]</x:v>
      </x:c>
      <x:c r="H50" s="11" t="n">
        <x:v>1</x:v>
      </x:c>
      <x:c r="I50" s="11" t="str">
        <x:v>세라로 아이템을 구매 후 7일 이내에 구매를 취소할 수 있는 시스템</x:v>
      </x:c>
      <x:c r="J50" s="11" t="str">
        <x:v>[세라 아이템 청약철회] 청약철회란 무엇인가요.</x:v>
      </x:c>
      <x:c r="K50" s="11" t="str">
        <x:v>document_sha256_149d2ff711617b2d1b21a466c228cd8da7080fe6621fb0e3c216bd1141084058</x:v>
      </x:c>
      <x:c r="L50" s="11" t="str">
        <x:v>chunk_sha256_74e2e422c2d97239b3a7d5216097c6ff779f6590481ec7f0fba1607907781bbb</x:v>
      </x:c>
      <x:c r="M50" s="11" t="n">
        <x:v>27</x:v>
      </x:c>
      <x:c r="N50" s="11" t="n">
        <x:v>64</x:v>
      </x:c>
      <x:c r="O50" s="11" t="str">
        <x:v>https://df.nexon.com/customer/faq?faq_no=4950</x:v>
      </x:c>
    </x:row>
    <x:row r="51" ht="54" customHeight="1">
      <x:c r="A51" s="11" t="n">
        <x:v>34</x:v>
      </x:c>
      <x:c r="B51" s="11" t="str">
        <x:v>otp_after_suspension</x:v>
      </x:c>
      <x:c r="C51" s="11" t="str">
        <x:v>supported</x:v>
      </x:c>
      <x:c r="D51" s="11" t="str">
        <x:v>모바일 OTP</x:v>
      </x:c>
      <x:c r="E51" s="11" t="str">
        <x:v>usable_after_phone_suspension</x:v>
      </x:c>
      <x:c r="F51" s="11" t="str">
        <x:v>boolean</x:v>
      </x:c>
      <x:c r="G51" s="11" t="str">
        <x:v>[true]</x:v>
      </x:c>
      <x:c r="H51" s="11" t="n">
        <x:v>1</x:v>
      </x:c>
      <x:c r="I51" s="11" t="str">
        <x:v>정지된 이후에도 OTP 이용이 가능합니다.</x:v>
      </x:c>
      <x:c r="J51" s="11" t="str">
        <x:v>[네오플OTP] 휴대폰이 정지되면 OTP를 사용할 수 없나요?</x:v>
      </x:c>
      <x:c r="K51" s="11" t="str">
        <x:v>document_sha256_14abfdb2580523ff2427fb38999c83b926eb2c0dd50e37367962fe2f76903847</x:v>
      </x:c>
      <x:c r="L51" s="11" t="str">
        <x:v>chunk_sha256_f8419aed79598bff89d650d9f79c25c594ea665e54bf611e33addd1026946280</x:v>
      </x:c>
      <x:c r="M51" s="11" t="n">
        <x:v>71</x:v>
      </x:c>
      <x:c r="N51" s="11" t="n">
        <x:v>94</x:v>
      </x:c>
      <x:c r="O51" s="11" t="str">
        <x:v>https://df.nexon.com/customer/faq?faq_no=4901</x:v>
      </x:c>
    </x:row>
    <x:row r="52" ht="54" customHeight="1">
      <x:c r="A52" s="11" t="n">
        <x:v>35</x:v>
      </x:c>
      <x:c r="B52" s="11" t="str">
        <x:v>same_account_trade_type</x:v>
      </x:c>
      <x:c r="C52" s="11" t="str">
        <x:v>supported</x:v>
      </x:c>
      <x:c r="D52" s="11" t="str">
        <x:v>히든 레어 아바타 동일 계정 이동</x:v>
      </x:c>
      <x:c r="E52" s="11" t="str">
        <x:v>changes_to_untradeable</x:v>
      </x:c>
      <x:c r="F52" s="11" t="str">
        <x:v>boolean</x:v>
      </x:c>
      <x:c r="G52" s="11" t="str">
        <x:v>[false]</x:v>
      </x:c>
      <x:c r="H52" s="11" t="n">
        <x:v>1</x:v>
      </x:c>
      <x:c r="I52" s="11" t="str">
        <x:v>동일 계정 내 다른 캐릭터로 우편 이동 시에는
거래타입이 교환불가 상태로 변경되지 않습니다.</x:v>
      </x:c>
      <x:c r="J52" s="11" t="str">
        <x:v>[게임 이용] 히든 레어 아바타를 이동시킬 경우 교환이 불가능한가요?</x:v>
      </x:c>
      <x:c r="K52" s="11" t="str">
        <x:v>document_sha256_0f18c2d9347d988bec5f4392da02cdd14585f9a53085b978884e22839220188d</x:v>
      </x:c>
      <x:c r="L52" s="11" t="str">
        <x:v>chunk_sha256_2073dab6b05ec247292284a0a0a5455a63b1faada4b6ab78a1c64f8dc71b8a22</x:v>
      </x:c>
      <x:c r="M52" s="11" t="n">
        <x:v>114</x:v>
      </x:c>
      <x:c r="N52" s="11" t="n">
        <x:v>165</x:v>
      </x:c>
      <x:c r="O52" s="11" t="str">
        <x:v>https://df.nexon.com/customer/faq?faq_no=5001</x:v>
      </x:c>
    </x:row>
    <x:row r="53" ht="54" customHeight="1">
      <x:c r="A53" s="11" t="n">
        <x:v>35</x:v>
      </x:c>
      <x:c r="B53" s="11" t="str">
        <x:v>other_account_trade_type</x:v>
      </x:c>
      <x:c r="C53" s="11" t="str">
        <x:v>supported</x:v>
      </x:c>
      <x:c r="D53" s="11" t="str">
        <x:v>히든 레어 아바타 다른 계정 이동</x:v>
      </x:c>
      <x:c r="E53" s="11" t="str">
        <x:v>changes_to_untradeable</x:v>
      </x:c>
      <x:c r="F53" s="11" t="str">
        <x:v>boolean</x:v>
      </x:c>
      <x:c r="G53" s="11" t="str">
        <x:v>[true]</x:v>
      </x:c>
      <x:c r="H53" s="11" t="n">
        <x:v>1</x:v>
      </x:c>
      <x:c r="I53" s="11" t="str">
        <x:v>다른 계정으로의 이동(트레이드, 경매장, 아바타마켓 등)이 발생하면
교환불가 타입으로 변경</x:v>
      </x:c>
      <x:c r="J53" s="11" t="str">
        <x:v>[게임 이용] 히든 레어 아바타를 이동시킬 경우 교환이 불가능한가요?</x:v>
      </x:c>
      <x:c r="K53" s="11" t="str">
        <x:v>document_sha256_0f18c2d9347d988bec5f4392da02cdd14585f9a53085b978884e22839220188d</x:v>
      </x:c>
      <x:c r="L53" s="11" t="str">
        <x:v>chunk_sha256_2073dab6b05ec247292284a0a0a5455a63b1faada4b6ab78a1c64f8dc71b8a22</x:v>
      </x:c>
      <x:c r="M53" s="11" t="n">
        <x:v>170</x:v>
      </x:c>
      <x:c r="N53" s="11" t="n">
        <x:v>220</x:v>
      </x:c>
      <x:c r="O53" s="11" t="str">
        <x:v>https://df.nexon.com/customer/faq?faq_no=5001</x:v>
      </x:c>
    </x:row>
    <x:row r="54" ht="54" customHeight="1">
      <x:c r="A54" s="11" t="n">
        <x:v>36</x:v>
      </x:c>
      <x:c r="B54" s="11" t="str">
        <x:v>registration_location</x:v>
      </x:c>
      <x:c r="C54" s="11" t="str">
        <x:v>supported</x:v>
      </x:c>
      <x:c r="D54" s="11" t="str">
        <x:v>지정PC</x:v>
      </x:c>
      <x:c r="E54" s="11" t="str">
        <x:v>registration_location</x:v>
      </x:c>
      <x:c r="F54" s="11" t="str">
        <x:v>enum</x:v>
      </x:c>
      <x:c r="G54" s="11" t="str">
        <x:v>["게임 내"]</x:v>
      </x:c>
      <x:c r="H54" s="11" t="n">
        <x:v>1</x:v>
      </x:c>
      <x:c r="I54" s="11" t="str">
        <x:v>지정PC는 게임 내에서만 등록이 가능</x:v>
      </x:c>
      <x:c r="J54" s="11" t="str">
        <x:v>[지정PC] 지정PC에 대해 궁금한 점이 있어요.</x:v>
      </x:c>
      <x:c r="K54" s="11" t="str">
        <x:v>document_sha256_12bc25ffe3590dcdc5dfcb079470bfd4c702a0655334483e21a7906c2b6ce340</x:v>
      </x:c>
      <x:c r="L54" s="11" t="str">
        <x:v>chunk_sha256_839fa5bc59d9c6ee8d2797c781b6c9e75ba9d204c61d4d3c3a17084a950450af</x:v>
      </x:c>
      <x:c r="M54" s="11" t="n">
        <x:v>207</x:v>
      </x:c>
      <x:c r="N54" s="11" t="n">
        <x:v>227</x:v>
      </x:c>
      <x:c r="O54" s="11" t="str">
        <x:v>https://df.nexon.com/customer/faq?faq_no=5630</x:v>
      </x:c>
    </x:row>
    <x:row r="55" ht="54" customHeight="1">
      <x:c r="A55" s="11" t="n">
        <x:v>36</x:v>
      </x:c>
      <x:c r="B55" s="11" t="str">
        <x:v>deletion_location</x:v>
      </x:c>
      <x:c r="C55" s="11" t="str">
        <x:v>supported</x:v>
      </x:c>
      <x:c r="D55" s="11" t="str">
        <x:v>지정PC</x:v>
      </x:c>
      <x:c r="E55" s="11" t="str">
        <x:v>deletion_location</x:v>
      </x:c>
      <x:c r="F55" s="11" t="str">
        <x:v>entity_list</x:v>
      </x:c>
      <x:c r="G55" s="11" t="str">
        <x:v>["게임","웹"]</x:v>
      </x:c>
      <x:c r="H55" s="11" t="n">
        <x:v>1</x:v>
      </x:c>
      <x:c r="I55" s="11" t="str">
        <x:v>삭제는 게임 혹은 웹에서 진행할 수 있습니다.</x:v>
      </x:c>
      <x:c r="J55" s="11" t="str">
        <x:v>[지정PC] 지정PC에 대해 궁금한 점이 있어요.</x:v>
      </x:c>
      <x:c r="K55" s="11" t="str">
        <x:v>document_sha256_12bc25ffe3590dcdc5dfcb079470bfd4c702a0655334483e21a7906c2b6ce340</x:v>
      </x:c>
      <x:c r="L55" s="11" t="str">
        <x:v>chunk_sha256_839fa5bc59d9c6ee8d2797c781b6c9e75ba9d204c61d4d3c3a17084a950450af</x:v>
      </x:c>
      <x:c r="M55" s="11" t="n">
        <x:v>231</x:v>
      </x:c>
      <x:c r="N55" s="11" t="n">
        <x:v>256</x:v>
      </x:c>
      <x:c r="O55" s="11" t="str">
        <x:v>https://df.nexon.com/customer/faq?faq_no=5630</x:v>
      </x:c>
    </x:row>
    <x:row r="56" ht="54" customHeight="1">
      <x:c r="A56" s="11" t="n">
        <x:v>37</x:v>
      </x:c>
      <x:c r="B56" s="11" t="str">
        <x:v>slot_count</x:v>
      </x:c>
      <x:c r="C56" s="11" t="str">
        <x:v>supported</x:v>
      </x:c>
      <x:c r="D56" s="11" t="str">
        <x:v>은 금고</x:v>
      </x:c>
      <x:c r="E56" s="11" t="str">
        <x:v>slot_count</x:v>
      </x:c>
      <x:c r="F56" s="11" t="str">
        <x:v>number</x:v>
      </x:c>
      <x:c r="G56" s="11" t="str">
        <x:v>[40]</x:v>
      </x:c>
      <x:c r="H56" s="11" t="n">
        <x:v>1</x:v>
      </x:c>
      <x:c r="I56" s="11" t="str">
        <x:v>| 은 금고 | 40 칸 | 400 세라 |</x:v>
      </x:c>
      <x:c r="J56" s="11" t="str">
        <x:v>[게임 이용] 금고 업그레이드 비용 및 단계별 슬롯 수가 궁금해요!</x:v>
      </x:c>
      <x:c r="K56" s="11" t="str">
        <x:v>document_sha256_1134672fc4c263d602529ff36b2f21c8b3231d1c19f104f398f4c48ea6e92b0b</x:v>
      </x:c>
      <x:c r="L56" s="11" t="str">
        <x:v>chunk_sha256_b2f6e4b7973ed004d667c9b752147a6c03726109657d8f309c157cc9312226db</x:v>
      </x:c>
      <x:c r="M56" s="11" t="n">
        <x:v>130</x:v>
      </x:c>
      <x:c r="N56" s="11" t="n">
        <x:v>154</x:v>
      </x:c>
      <x:c r="O56" s="11" t="str">
        <x:v>https://df.nexon.com/customer/faq?faq_no=4994</x:v>
      </x:c>
    </x:row>
    <x:row r="57" ht="54" customHeight="1">
      <x:c r="A57" s="11" t="n">
        <x:v>37</x:v>
      </x:c>
      <x:c r="B57" s="11" t="str">
        <x:v>price</x:v>
      </x:c>
      <x:c r="C57" s="11" t="str">
        <x:v>supported</x:v>
      </x:c>
      <x:c r="D57" s="11" t="str">
        <x:v>은 금고</x:v>
      </x:c>
      <x:c r="E57" s="11" t="str">
        <x:v>price</x:v>
      </x:c>
      <x:c r="F57" s="11" t="str">
        <x:v>currency</x:v>
      </x:c>
      <x:c r="G57" s="11" t="str">
        <x:v>[{"amount":400,"unit":"세라"}]</x:v>
      </x:c>
      <x:c r="H57" s="11" t="n">
        <x:v>1</x:v>
      </x:c>
      <x:c r="I57" s="11" t="str">
        <x:v>| 은 금고 | 40 칸 | 400 세라 |</x:v>
      </x:c>
      <x:c r="J57" s="11" t="str">
        <x:v>[게임 이용] 금고 업그레이드 비용 및 단계별 슬롯 수가 궁금해요!</x:v>
      </x:c>
      <x:c r="K57" s="11" t="str">
        <x:v>document_sha256_1134672fc4c263d602529ff36b2f21c8b3231d1c19f104f398f4c48ea6e92b0b</x:v>
      </x:c>
      <x:c r="L57" s="11" t="str">
        <x:v>chunk_sha256_b2f6e4b7973ed004d667c9b752147a6c03726109657d8f309c157cc9312226db</x:v>
      </x:c>
      <x:c r="M57" s="11" t="n">
        <x:v>130</x:v>
      </x:c>
      <x:c r="N57" s="11" t="n">
        <x:v>154</x:v>
      </x:c>
      <x:c r="O57" s="11" t="str">
        <x:v>https://df.nexon.com/customer/faq?faq_no=4994</x:v>
      </x:c>
    </x:row>
    <x:row r="58" ht="54" customHeight="1">
      <x:c r="A58" s="11" t="n">
        <x:v>38</x:v>
      </x:c>
      <x:c r="B58" s="11" t="str">
        <x:v>new_issue_stopped_at</x:v>
      </x:c>
      <x:c r="C58" s="11" t="str">
        <x:v>supported</x:v>
      </x:c>
      <x:c r="D58" s="11" t="str">
        <x:v>고블린패드 신규 발급</x:v>
      </x:c>
      <x:c r="E58" s="11" t="str">
        <x:v>stopped_at</x:v>
      </x:c>
      <x:c r="F58" s="11" t="str">
        <x:v>date</x:v>
      </x:c>
      <x:c r="G58" s="11" t="str">
        <x:v>["2020-06-25"]</x:v>
      </x:c>
      <x:c r="H58" s="11" t="n">
        <x:v>1</x:v>
      </x:c>
      <x:c r="I58" s="11" t="str">
        <x:v>2020년 6월 25일 부로 중단되었습니다.</x:v>
      </x:c>
      <x:c r="J58" s="11" t="str">
        <x:v>[고블린패드] 고블린패드 신규 가입이 불가능한가요?</x:v>
      </x:c>
      <x:c r="K58" s="11" t="str">
        <x:v>document_sha256_0e2e3708a583908218fceddd24deac9ec99ed336ffe2f48ffd34b5b0203b50ef</x:v>
      </x:c>
      <x:c r="L58" s="11" t="str">
        <x:v>chunk_sha256_611d6ec7b679543c445c77c70c5ed92310845f2e236c60044afc3180d47601ce</x:v>
      </x:c>
      <x:c r="M58" s="11" t="n">
        <x:v>43</x:v>
      </x:c>
      <x:c r="N58" s="11" t="n">
        <x:v>67</x:v>
      </x:c>
      <x:c r="O58" s="11" t="str">
        <x:v>https://df.nexon.com/customer/faq?faq_no=4923</x:v>
      </x:c>
    </x:row>
    <x:row r="59" ht="54" customHeight="1">
      <x:c r="A59" s="11" t="n">
        <x:v>38</x:v>
      </x:c>
      <x:c r="B59" s="11" t="str">
        <x:v>reissue_existing_user</x:v>
      </x:c>
      <x:c r="C59" s="11" t="str">
        <x:v>supported</x:v>
      </x:c>
      <x:c r="D59" s="11" t="str">
        <x:v>고블린패드 기존 이용자</x:v>
      </x:c>
      <x:c r="E59" s="11" t="str">
        <x:v>can_reissue</x:v>
      </x:c>
      <x:c r="F59" s="11" t="str">
        <x:v>boolean</x:v>
      </x:c>
      <x:c r="G59" s="11" t="str">
        <x:v>[true]</x:v>
      </x:c>
      <x:c r="H59" s="11" t="n">
        <x:v>1</x:v>
      </x:c>
      <x:c r="I59" s="11" t="str">
        <x:v>기존 이용 중이신 경우 비밀번호 변경, 재발급이 가능합니다.</x:v>
      </x:c>
      <x:c r="J59" s="11" t="str">
        <x:v>[고블린패드] 고블린패드 신규 가입이 불가능한가요?</x:v>
      </x:c>
      <x:c r="K59" s="11" t="str">
        <x:v>document_sha256_0e2e3708a583908218fceddd24deac9ec99ed336ffe2f48ffd34b5b0203b50ef</x:v>
      </x:c>
      <x:c r="L59" s="11" t="str">
        <x:v>chunk_sha256_611d6ec7b679543c445c77c70c5ed92310845f2e236c60044afc3180d47601ce</x:v>
      </x:c>
      <x:c r="M59" s="11" t="n">
        <x:v>172</x:v>
      </x:c>
      <x:c r="N59" s="11" t="n">
        <x:v>205</x:v>
      </x:c>
      <x:c r="O59" s="11" t="str">
        <x:v>https://df.nexon.com/customer/faq?faq_no=4923</x:v>
      </x:c>
    </x:row>
    <x:row r="60" ht="54" customHeight="1">
      <x:c r="A60" s="11" t="n">
        <x:v>39</x:v>
      </x:c>
      <x:c r="B60" s="11" t="str">
        <x:v>credit_timing</x:v>
      </x:c>
      <x:c r="C60" s="11" t="str">
        <x:v>supported</x:v>
      </x:c>
      <x:c r="D60" s="11" t="str">
        <x:v>네이버 로그인 계정 이벤트 혜택 1·2 Npay 포인트</x:v>
      </x:c>
      <x:c r="E60" s="11" t="str">
        <x:v>credited_after</x:v>
      </x:c>
      <x:c r="F60" s="11" t="str">
        <x:v>number</x:v>
      </x:c>
      <x:c r="G60" s="11" t="str">
        <x:v>[7]</x:v>
      </x:c>
      <x:c r="H60" s="11" t="n">
        <x:v>1</x:v>
      </x:c>
      <x:c r="I60" s="11" t="str">
        <x:v>결제완료 시점으로부터 7일 이후에 적립</x:v>
      </x:c>
      <x:c r="J60" s="11" t="str">
        <x:v>[네이버 로그인 계정 이벤트] [혜택 1,2] 계정 변경 후 Npay 결제를 진행했는데 포인트가 들어오지 않아요.</x:v>
      </x:c>
      <x:c r="K60" s="11" t="str">
        <x:v>document_sha256_15028f170fd1a2268ffc0de2c75cb3c3e821911a1dd2ee1a9cb614e39b4d2172</x:v>
      </x:c>
      <x:c r="L60" s="11" t="str">
        <x:v>chunk_sha256_0fe0865cd60c5a50b0e7df7c2fe7158b671b07cea7e5bd0971748a41e20c7bdc</x:v>
      </x:c>
      <x:c r="M60" s="11" t="n">
        <x:v>92</x:v>
      </x:c>
      <x:c r="N60" s="11" t="n">
        <x:v>113</x:v>
      </x:c>
      <x:c r="O60" s="11" t="str">
        <x:v>https://df.nexon.com/customer/faq?faq_no=5951</x:v>
      </x:c>
    </x:row>
    <x:row r="61" ht="54" customHeight="1">
      <x:c r="A61" s="11" t="n">
        <x:v>39</x:v>
      </x:c>
      <x:c r="B61" s="11" t="str">
        <x:v>credit_amount</x:v>
      </x:c>
      <x:c r="C61" s="11" t="str">
        <x:v>unsupported</x:v>
      </x:c>
      <x:c r="D61" s="11" t="str">
        <x:v>네이버 로그인 계정 이벤트 혜택 1·2 Npay 포인트</x:v>
      </x:c>
      <x:c r="E61" s="11" t="str">
        <x:v>credit_amount</x:v>
      </x:c>
      <x:c r="F61" s="11" t="str">
        <x:v>number</x:v>
      </x:c>
      <x:c r="G61" s="11" t="str">
        <x:v>[]</x:v>
      </x:c>
      <x:c r="H61" s="11" t="n">
        <x:v>0</x:v>
      </x:c>
      <x:c r="I61" s="11" t="str">
        <x:v>(공식 문서에서 근거 없음)</x:v>
      </x:c>
      <x:c r="J61" s="11" t="str">
        <x:v>[네이버 로그인 계정 이벤트] [혜택 1,2] 계정 변경 후 Npay 결제를 진행했는데 포인트가 들어오지 않아요.</x:v>
      </x:c>
      <x:c r="K61" s="11" t="str">
        <x:v>document_sha256_15028f170fd1a2268ffc0de2c75cb3c3e821911a1dd2ee1a9cb614e39b4d2172</x:v>
      </x:c>
      <x:c r="L61" s="11"/>
      <x:c r="M61" s="11"/>
      <x:c r="N61" s="11"/>
      <x:c r="O61" s="11" t="str">
        <x:v>https://df.nexon.com/customer/faq?faq_no=5951</x:v>
      </x:c>
    </x:row>
    <x:row r="62" ht="54" customHeight="1">
      <x:c r="A62" s="11" t="n">
        <x:v>40</x:v>
      </x:c>
      <x:c r="B62" s="11" t="str">
        <x:v>redeem_location</x:v>
      </x:c>
      <x:c r="C62" s="11" t="str">
        <x:v>supported</x:v>
      </x:c>
      <x:c r="D62" s="11" t="str">
        <x:v>세라/넥슨 쿠폰</x:v>
      </x:c>
      <x:c r="E62" s="11" t="str">
        <x:v>redeem_location</x:v>
      </x:c>
      <x:c r="F62" s="11" t="str">
        <x:v>text</x:v>
      </x:c>
      <x:c r="G62" s="11" t="str">
        <x:v>["던전앤파이터 홈페이지"]</x:v>
      </x:c>
      <x:c r="H62" s="11" t="n">
        <x:v>1</x:v>
      </x:c>
      <x:c r="I62" s="11" t="str">
        <x:v>세라/넥슨 쿠폰을 이용하시길 원하신다면
던파ON이 아닌, 던전앤파이터 홈페이지를 이용해주세요.</x:v>
      </x:c>
      <x:c r="J62" s="11" t="str">
        <x:v>[이용 문의] 이벤트로 받은 세라 쿠폰이 입력되지 않아요.</x:v>
      </x:c>
      <x:c r="K62" s="11" t="str">
        <x:v>document_sha256_0c6454727eb4b218ba26bc6586e062f13d0c5be75e8c062c190f149f22357028</x:v>
      </x:c>
      <x:c r="L62" s="11" t="str">
        <x:v>chunk_sha256_5927e937cb18a4ac2b79b1cbe8a9b5dc05eadf7efc18d9d0efab501cb37832dd</x:v>
      </x:c>
      <x:c r="M62" s="11" t="n">
        <x:v>72</x:v>
      </x:c>
      <x:c r="N62" s="11" t="n">
        <x:v>124</x:v>
      </x:c>
      <x:c r="O62" s="11" t="str">
        <x:v>https://df.nexon.com/customer/faq?faq_no=2785</x:v>
      </x:c>
    </x:row>
    <x:row r="63" ht="54" customHeight="1">
      <x:c r="A63" s="11" t="n">
        <x:v>41</x:v>
      </x:c>
      <x:c r="B63" s="11" t="str">
        <x:v>effective_date</x:v>
      </x:c>
      <x:c r="C63" s="11" t="str">
        <x:v>supported</x:v>
      </x:c>
      <x:c r="D63" s="11" t="str">
        <x:v>던전앤파이터 운영정책</x:v>
      </x:c>
      <x:c r="E63" s="11" t="str">
        <x:v>effective_at</x:v>
      </x:c>
      <x:c r="F63" s="11" t="str">
        <x:v>date</x:v>
      </x:c>
      <x:c r="G63" s="11" t="str">
        <x:v>["2026-03-15"]</x:v>
      </x:c>
      <x:c r="H63" s="11" t="n">
        <x:v>1</x:v>
      </x:c>
      <x:c r="I63" s="11" t="str">
        <x:v>본 운영정책은 2026년 3월 15일부터 시행합니다.</x:v>
      </x:c>
      <x:c r="J63" s="11" t="str">
        <x:v>던전앤파이터 운영정책 (2026-03-15 시행)</x:v>
      </x:c>
      <x:c r="K63" s="11" t="str">
        <x:v>document_sha256_c7b4d4825f1bd82bfbad1db55d678070653c9c3b81e7c68c534eb4e698c32ded</x:v>
      </x:c>
      <x:c r="L63" s="11" t="str">
        <x:v>chunk_sha256_57964a47e57ded37dd4b774a35a3cba0bf1819b1002df7a2741c2867477a4110</x:v>
      </x:c>
      <x:c r="M63" s="11" t="n">
        <x:v>1365</x:v>
      </x:c>
      <x:c r="N63" s="11" t="n">
        <x:v>1394</x:v>
      </x:c>
      <x:c r="O63" s="11" t="str">
        <x:v>https://df.nexon.com/customer/policy/home?revision=2026-03-15&amp;type=1</x:v>
      </x:c>
    </x:row>
    <x:row r="64" ht="54" customHeight="1">
      <x:c r="A64" s="11" t="n">
        <x:v>42</x:v>
      </x:c>
      <x:c r="B64" s="11" t="str">
        <x:v>bug_spread_allowed</x:v>
      </x:c>
      <x:c r="C64" s="11" t="str">
        <x:v>supported</x:v>
      </x:c>
      <x:c r="D64" s="11" t="str">
        <x:v>버그 발견 고객</x:v>
      </x:c>
      <x:c r="E64" s="11" t="str">
        <x:v>may_spread_without_reporting</x:v>
      </x:c>
      <x:c r="F64" s="11" t="str">
        <x:v>boolean</x:v>
      </x:c>
      <x:c r="G64" s="11" t="str">
        <x:v>[false]</x:v>
      </x:c>
      <x:c r="H64" s="11" t="n">
        <x:v>1</x:v>
      </x:c>
      <x:c r="I64" s="11" t="str">
        <x:v>이 의무를 다하지 않고 버그를 악용하거나 타인에게 전파하는 경우 게임이용에 제한을 받을 수 있습니다.</x:v>
      </x:c>
      <x:c r="J64" s="11" t="str">
        <x:v>던전앤파이터 운영정책 (2026-03-15 시행)</x:v>
      </x:c>
      <x:c r="K64" s="11" t="str">
        <x:v>document_sha256_c7b4d4825f1bd82bfbad1db55d678070653c9c3b81e7c68c534eb4e698c32ded</x:v>
      </x:c>
      <x:c r="L64" s="11" t="str">
        <x:v>chunk_sha256_89cd3ff19da0087bafabc531b84e42e0f9792150cc38c3797cafc3c67317f787</x:v>
      </x:c>
      <x:c r="M64" s="11" t="n">
        <x:v>1220</x:v>
      </x:c>
      <x:c r="N64" s="11" t="n">
        <x:v>1276</x:v>
      </x:c>
      <x:c r="O64" s="11" t="str">
        <x:v>https://df.nexon.com/customer/policy/home?revision=2026-03-15&amp;type=1</x:v>
      </x:c>
    </x:row>
    <x:row r="65" ht="54" customHeight="1">
      <x:c r="A65" s="11" t="n">
        <x:v>43</x:v>
      </x:c>
      <x:c r="B65" s="11" t="str">
        <x:v>general_rule</x:v>
      </x:c>
      <x:c r="C65" s="11" t="str">
        <x:v>supported</x:v>
      </x:c>
      <x:c r="D65" s="11" t="str">
        <x:v>고객 간 사적 분쟁</x:v>
      </x:c>
      <x:c r="E65" s="11" t="str">
        <x:v>company_intervention_rule</x:v>
      </x:c>
      <x:c r="F65" s="11" t="str">
        <x:v>text</x:v>
      </x:c>
      <x:c r="G65" s="11" t="str">
        <x:v>["개입하지 않는 것을 원칙"]</x:v>
      </x:c>
      <x:c r="H65" s="11" t="n">
        <x:v>1</x:v>
      </x:c>
      <x:c r="I65" s="11" t="str">
        <x:v>사적인 분쟁에 개입하지 않는 것을 원칙</x:v>
      </x:c>
      <x:c r="J65" s="11" t="str">
        <x:v>던전앤파이터 운영정책 (2026-03-15 시행)</x:v>
      </x:c>
      <x:c r="K65" s="11" t="str">
        <x:v>document_sha256_c7b4d4825f1bd82bfbad1db55d678070653c9c3b81e7c68c534eb4e698c32ded</x:v>
      </x:c>
      <x:c r="L65" s="11" t="str">
        <x:v>chunk_sha256_89cd3ff19da0087bafabc531b84e42e0f9792150cc38c3797cafc3c67317f787</x:v>
      </x:c>
      <x:c r="M65" s="11" t="n">
        <x:v>1480</x:v>
      </x:c>
      <x:c r="N65" s="11" t="n">
        <x:v>1501</x:v>
      </x:c>
      <x:c r="O65" s="11" t="str">
        <x:v>https://df.nexon.com/customer/policy/home?revision=2026-03-15&amp;type=1</x:v>
      </x:c>
    </x:row>
    <x:row r="66" ht="54" customHeight="1">
      <x:c r="A66" s="11" t="n">
        <x:v>43</x:v>
      </x:c>
      <x:c r="B66" s="11" t="str">
        <x:v>exception</x:v>
      </x:c>
      <x:c r="C66" s="11" t="str">
        <x:v>supported</x:v>
      </x:c>
      <x:c r="D66" s="11" t="str">
        <x:v>고객 간 사적 분쟁</x:v>
      </x:c>
      <x:c r="E66" s="11" t="str">
        <x:v>intervention_exception</x:v>
      </x:c>
      <x:c r="F66" s="11" t="str">
        <x:v>text</x:v>
      </x:c>
      <x:c r="G66" s="11" t="str">
        <x:v>["불특정 다수의 고객에게 피해를 주는 경우"]</x:v>
      </x:c>
      <x:c r="H66" s="11" t="n">
        <x:v>1</x:v>
      </x:c>
      <x:c r="I66" s="11" t="str">
        <x:v>불특정 다수의 고객에게 피해</x:v>
      </x:c>
      <x:c r="J66" s="11" t="str">
        <x:v>던전앤파이터 운영정책 (2026-03-15 시행)</x:v>
      </x:c>
      <x:c r="K66" s="11" t="str">
        <x:v>document_sha256_c7b4d4825f1bd82bfbad1db55d678070653c9c3b81e7c68c534eb4e698c32ded</x:v>
      </x:c>
      <x:c r="L66" s="11" t="str">
        <x:v>chunk_sha256_89cd3ff19da0087bafabc531b84e42e0f9792150cc38c3797cafc3c67317f787</x:v>
      </x:c>
      <x:c r="M66" s="11" t="n">
        <x:v>1630</x:v>
      </x:c>
      <x:c r="N66" s="11" t="n">
        <x:v>1645</x:v>
      </x:c>
      <x:c r="O66" s="11" t="str">
        <x:v>https://df.nexon.com/customer/policy/home?revision=2026-03-15&amp;type=1</x:v>
      </x:c>
    </x:row>
    <x:row r="67" ht="54" customHeight="1">
      <x:c r="A67" s="11" t="n">
        <x:v>44</x:v>
      </x:c>
      <x:c r="B67" s="11" t="str">
        <x:v>security_service</x:v>
      </x:c>
      <x:c r="C67" s="11" t="str">
        <x:v>supported</x:v>
      </x:c>
      <x:c r="D67" s="11" t="str">
        <x:v>고객 ID 보호</x:v>
      </x:c>
      <x:c r="E67" s="11" t="str">
        <x:v>security_service_obligation</x:v>
      </x:c>
      <x:c r="F67" s="11" t="str">
        <x:v>text</x:v>
      </x:c>
      <x:c r="G67" s="11" t="str">
        <x:v>["회사가 제공하는 보안서비스 이용"]</x:v>
      </x:c>
      <x:c r="H67" s="11" t="n">
        <x:v>1</x:v>
      </x:c>
      <x:c r="I67" s="11" t="str">
        <x:v>고객은 자신의 ID를 보호하기 위해 회사에서 제공하는 보안서비스(OTP 등)에 가입하는 등의 노력을 해야 합니다.</x:v>
      </x:c>
      <x:c r="J67" s="11" t="str">
        <x:v>던전앤파이터 운영정책 (2026-03-15 시행)</x:v>
      </x:c>
      <x:c r="K67" s="11" t="str">
        <x:v>document_sha256_c7b4d4825f1bd82bfbad1db55d678070653c9c3b81e7c68c534eb4e698c32ded</x:v>
      </x:c>
      <x:c r="L67" s="11" t="str">
        <x:v>chunk_sha256_89cd3ff19da0087bafabc531b84e42e0f9792150cc38c3797cafc3c67317f787</x:v>
      </x:c>
      <x:c r="M67" s="11" t="n">
        <x:v>757</x:v>
      </x:c>
      <x:c r="N67" s="11" t="n">
        <x:v>820</x:v>
      </x:c>
      <x:c r="O67" s="11" t="str">
        <x:v>https://df.nexon.com/customer/policy/home?revision=2026-03-15&amp;type=1</x:v>
      </x:c>
    </x:row>
    <x:row r="68" ht="54" customHeight="1">
      <x:c r="A68" s="11" t="n">
        <x:v>44</x:v>
      </x:c>
      <x:c r="B68" s="11" t="str">
        <x:v>credential_secrecy</x:v>
      </x:c>
      <x:c r="C68" s="11" t="str">
        <x:v>supported</x:v>
      </x:c>
      <x:c r="D68" s="11" t="str">
        <x:v>고객 ID 보호</x:v>
      </x:c>
      <x:c r="E68" s="11" t="str">
        <x:v>credential_secrecy_obligation</x:v>
      </x:c>
      <x:c r="F68" s="11" t="str">
        <x:v>text</x:v>
      </x:c>
      <x:c r="G68" s="11" t="str">
        <x:v>["ID와 비밀번호가 타인에게 노출되지 않도록 관리"]</x:v>
      </x:c>
      <x:c r="H68" s="11" t="n">
        <x:v>1</x:v>
      </x:c>
      <x:c r="I68" s="11" t="str">
        <x:v>고객은 ID, 비밀번호 등의 계정정보 및 개인정보가 타인에게 노출되지 않도록 최선의 주의를 기울여야 하며</x:v>
      </x:c>
      <x:c r="J68" s="11" t="str">
        <x:v>던전앤파이터 운영정책 (2026-03-15 시행)</x:v>
      </x:c>
      <x:c r="K68" s="11" t="str">
        <x:v>document_sha256_c7b4d4825f1bd82bfbad1db55d678070653c9c3b81e7c68c534eb4e698c32ded</x:v>
      </x:c>
      <x:c r="L68" s="11" t="str">
        <x:v>chunk_sha256_89cd3ff19da0087bafabc531b84e42e0f9792150cc38c3797cafc3c67317f787</x:v>
      </x:c>
      <x:c r="M68" s="11" t="n">
        <x:v>882</x:v>
      </x:c>
      <x:c r="N68" s="11" t="n">
        <x:v>940</x:v>
      </x:c>
      <x:c r="O68" s="11" t="str">
        <x:v>https://df.nexon.com/customer/policy/home?revision=2026-03-15&amp;type=1</x:v>
      </x:c>
    </x:row>
    <x:row r="69" ht="54" customHeight="1">
      <x:c r="A69" s="11" t="n">
        <x:v>45</x:v>
      </x:c>
      <x:c r="B69" s="11" t="str">
        <x:v>first_sanction</x:v>
      </x:c>
      <x:c r="C69" s="11" t="str">
        <x:v>supported</x:v>
      </x:c>
      <x:c r="D69" s="11" t="str">
        <x:v>운영자/직원 사칭</x:v>
      </x:c>
      <x:c r="E69" s="11" t="str">
        <x:v>first_sanction</x:v>
      </x:c>
      <x:c r="F69" s="11" t="str">
        <x:v>text</x:v>
      </x:c>
      <x:c r="G69" s="11" t="str">
        <x:v>["100일 게임 이용제한"]</x:v>
      </x:c>
      <x:c r="H69" s="11" t="n">
        <x:v>1</x:v>
      </x:c>
      <x:c r="I69" s="11" t="str">
        <x:v>| 운영자 / 직원을 사칭하는 행위 | 100일 게임 이용제한 | 1년 게임 이용제한 | 3년 게임 이용제한 | 영구 게임 이용제한 |</x:v>
      </x:c>
      <x:c r="J69" s="11" t="str">
        <x:v>던전앤파이터 운영정책 (2026-03-15 시행)</x:v>
      </x:c>
      <x:c r="K69" s="11" t="str">
        <x:v>document_sha256_c7b4d4825f1bd82bfbad1db55d678070653c9c3b81e7c68c534eb4e698c32ded</x:v>
      </x:c>
      <x:c r="L69" s="11" t="str">
        <x:v>chunk_sha256_794ba7192ebf7b3ed1ed537610afbeb34088b30384ec050fef986ea18357c3a0</x:v>
      </x:c>
      <x:c r="M69" s="11" t="n">
        <x:v>1454</x:v>
      </x:c>
      <x:c r="N69" s="11" t="n">
        <x:v>1529</x:v>
      </x:c>
      <x:c r="O69" s="11" t="str">
        <x:v>https://df.nexon.com/customer/policy/home?revision=2026-03-15&amp;type=1</x:v>
      </x:c>
    </x:row>
    <x:row r="70" ht="54" customHeight="1">
      <x:c r="A70" s="11" t="n">
        <x:v>45</x:v>
      </x:c>
      <x:c r="B70" s="11" t="str">
        <x:v>fourth_sanction</x:v>
      </x:c>
      <x:c r="C70" s="11" t="str">
        <x:v>supported</x:v>
      </x:c>
      <x:c r="D70" s="11" t="str">
        <x:v>운영자/직원 사칭</x:v>
      </x:c>
      <x:c r="E70" s="11" t="str">
        <x:v>fourth_sanction</x:v>
      </x:c>
      <x:c r="F70" s="11" t="str">
        <x:v>text</x:v>
      </x:c>
      <x:c r="G70" s="11" t="str">
        <x:v>["영구 게임 이용제한"]</x:v>
      </x:c>
      <x:c r="H70" s="11" t="n">
        <x:v>1</x:v>
      </x:c>
      <x:c r="I70" s="11" t="str">
        <x:v>| 운영자 / 직원을 사칭하는 행위 | 100일 게임 이용제한 | 1년 게임 이용제한 | 3년 게임 이용제한 | 영구 게임 이용제한 |</x:v>
      </x:c>
      <x:c r="J70" s="11" t="str">
        <x:v>던전앤파이터 운영정책 (2026-03-15 시행)</x:v>
      </x:c>
      <x:c r="K70" s="11" t="str">
        <x:v>document_sha256_c7b4d4825f1bd82bfbad1db55d678070653c9c3b81e7c68c534eb4e698c32ded</x:v>
      </x:c>
      <x:c r="L70" s="11" t="str">
        <x:v>chunk_sha256_794ba7192ebf7b3ed1ed537610afbeb34088b30384ec050fef986ea18357c3a0</x:v>
      </x:c>
      <x:c r="M70" s="11" t="n">
        <x:v>1454</x:v>
      </x:c>
      <x:c r="N70" s="11" t="n">
        <x:v>1529</x:v>
      </x:c>
      <x:c r="O70" s="11" t="str">
        <x:v>https://df.nexon.com/customer/policy/home?revision=2026-03-15&amp;type=1</x:v>
      </x:c>
    </x:row>
    <x:row r="71" ht="54" customHeight="1">
      <x:c r="A71" s="11" t="n">
        <x:v>46</x:v>
      </x:c>
      <x:c r="B71" s="11" t="str">
        <x:v>change_notice_method</x:v>
      </x:c>
      <x:c r="C71" s="11" t="str">
        <x:v>supported</x:v>
      </x:c>
      <x:c r="D71" s="11" t="str">
        <x:v>던전앤파이터 운영정책 변경</x:v>
      </x:c>
      <x:c r="E71" s="11" t="str">
        <x:v>notice_method</x:v>
      </x:c>
      <x:c r="F71" s="11" t="str">
        <x:v>text</x:v>
      </x:c>
      <x:c r="G71" s="11" t="str">
        <x:v>["공지를 통해 안내"]</x:v>
      </x:c>
      <x:c r="H71" s="11" t="n">
        <x:v>1</x:v>
      </x:c>
      <x:c r="I71" s="11" t="str">
        <x:v>운영정책을 변경할 경우, 회사는 관련 내용을 넥슨 공식 홈페이지(http://www.nexon.com)나 게임 홈페이지(http://df.nexon.com) 공지를 통해 알려드립니다.</x:v>
      </x:c>
      <x:c r="J71" s="11" t="str">
        <x:v>던전앤파이터 운영정책 (2026-03-15 시행)</x:v>
      </x:c>
      <x:c r="K71" s="11" t="str">
        <x:v>document_sha256_c7b4d4825f1bd82bfbad1db55d678070653c9c3b81e7c68c534eb4e698c32ded</x:v>
      </x:c>
      <x:c r="L71" s="11" t="str">
        <x:v>chunk_sha256_9fef8454ca5da401a3eb86ef4919448898883b1f891861c4670207059eaf3c33</x:v>
      </x:c>
      <x:c r="M71" s="11" t="n">
        <x:v>1084</x:v>
      </x:c>
      <x:c r="N71" s="11" t="n">
        <x:v>1186</x:v>
      </x:c>
      <x:c r="O71" s="11" t="str">
        <x:v>https://df.nexon.com/customer/policy/home?revision=2026-03-15&amp;type=1</x:v>
      </x:c>
    </x:row>
    <x:row r="72" ht="54" customHeight="1">
      <x:c r="A72" s="11" t="n">
        <x:v>47</x:v>
      </x:c>
      <x:c r="B72" s="11" t="str">
        <x:v>appeal_channel</x:v>
      </x:c>
      <x:c r="C72" s="11" t="str">
        <x:v>supported</x:v>
      </x:c>
      <x:c r="D72" s="11" t="str">
        <x:v>게임 이용제한 이의신청</x:v>
      </x:c>
      <x:c r="E72" s="11" t="str">
        <x:v>appeal_channel</x:v>
      </x:c>
      <x:c r="F72" s="11" t="str">
        <x:v>text</x:v>
      </x:c>
      <x:c r="G72" s="11" t="str">
        <x:v>["고객센터"]</x:v>
      </x:c>
      <x:c r="H72" s="11" t="n">
        <x:v>1</x:v>
      </x:c>
      <x:c r="I72" s="11" t="str">
        <x:v>이용제한 적용 시 이의신청을 원하실 경우, 고객센터로 문의하여 주시기 바랍니다.</x:v>
      </x:c>
      <x:c r="J72" s="11" t="str">
        <x:v>던전앤파이터 운영정책 (2026-03-15 시행)</x:v>
      </x:c>
      <x:c r="K72" s="11" t="str">
        <x:v>document_sha256_c7b4d4825f1bd82bfbad1db55d678070653c9c3b81e7c68c534eb4e698c32ded</x:v>
      </x:c>
      <x:c r="L72" s="11" t="str">
        <x:v>chunk_sha256_89cd3ff19da0087bafabc531b84e42e0f9792150cc38c3797cafc3c67317f787</x:v>
      </x:c>
      <x:c r="M72" s="11" t="n">
        <x:v>175</x:v>
      </x:c>
      <x:c r="N72" s="11" t="n">
        <x:v>219</x:v>
      </x:c>
      <x:c r="O72" s="11" t="str">
        <x:v>https://df.nexon.com/customer/policy/home?revision=2026-03-15&amp;type=1</x:v>
      </x:c>
    </x:row>
    <x:row r="73" ht="54" customHeight="1">
      <x:c r="A73" s="11" t="n">
        <x:v>47</x:v>
      </x:c>
      <x:c r="B73" s="11" t="str">
        <x:v>processing_days</x:v>
      </x:c>
      <x:c r="C73" s="11" t="str">
        <x:v>unsupported</x:v>
      </x:c>
      <x:c r="D73" s="11" t="str">
        <x:v>게임 이용제한 이의신청</x:v>
      </x:c>
      <x:c r="E73" s="11" t="str">
        <x:v>processing_days</x:v>
      </x:c>
      <x:c r="F73" s="11" t="str">
        <x:v>number</x:v>
      </x:c>
      <x:c r="G73" s="11" t="str">
        <x:v>[]</x:v>
      </x:c>
      <x:c r="H73" s="11" t="n">
        <x:v>0</x:v>
      </x:c>
      <x:c r="I73" s="11" t="str">
        <x:v>(공식 문서에서 근거 없음)</x:v>
      </x:c>
      <x:c r="J73" s="11" t="str">
        <x:v>던전앤파이터 운영정책 (2026-03-15 시행)</x:v>
      </x:c>
      <x:c r="K73" s="11" t="str">
        <x:v>document_sha256_c7b4d4825f1bd82bfbad1db55d678070653c9c3b81e7c68c534eb4e698c32ded</x:v>
      </x:c>
      <x:c r="L73" s="11"/>
      <x:c r="M73" s="11"/>
      <x:c r="N73" s="11"/>
      <x:c r="O73" s="11" t="str">
        <x:v>https://df.nexon.com/customer/policy/home?revision=2026-03-15&amp;type=1</x:v>
      </x:c>
    </x:row>
    <x:row r="74" ht="54" customHeight="1">
      <x:c r="A74" s="11" t="n">
        <x:v>48</x:v>
      </x:c>
      <x:c r="B74" s="11" t="str">
        <x:v>retention_days</x:v>
      </x:c>
      <x:c r="C74" s="11" t="str">
        <x:v>supported</x:v>
      </x:c>
      <x:c r="D74" s="11" t="str">
        <x:v>이용제한 근거 데이터</x:v>
      </x:c>
      <x:c r="E74" s="11" t="str">
        <x:v>retention_days</x:v>
      </x:c>
      <x:c r="F74" s="11" t="str">
        <x:v>number</x:v>
      </x:c>
      <x:c r="G74" s="11" t="str">
        <x:v>[90]</x:v>
      </x:c>
      <x:c r="H74" s="11" t="n">
        <x:v>1</x:v>
      </x:c>
      <x:c r="I74" s="11" t="str">
        <x:v>이용제한 근거에 대한 데이터는 관계 법령에 근거하여 90일간 보유</x:v>
      </x:c>
      <x:c r="J74" s="11" t="str">
        <x:v>던전앤파이터 운영정책 (2026-03-15 시행)</x:v>
      </x:c>
      <x:c r="K74" s="11" t="str">
        <x:v>document_sha256_c7b4d4825f1bd82bfbad1db55d678070653c9c3b81e7c68c534eb4e698c32ded</x:v>
      </x:c>
      <x:c r="L74" s="11" t="str">
        <x:v>chunk_sha256_89cd3ff19da0087bafabc531b84e42e0f9792150cc38c3797cafc3c67317f787</x:v>
      </x:c>
      <x:c r="M74" s="11" t="n">
        <x:v>223</x:v>
      </x:c>
      <x:c r="N74" s="11" t="n">
        <x:v>259</x:v>
      </x:c>
      <x:c r="O74" s="11" t="str">
        <x:v>https://df.nexon.com/customer/policy/home?revision=2026-03-15&amp;type=1</x:v>
      </x:c>
    </x:row>
    <x:row r="75" ht="54" customHeight="1">
      <x:c r="A75" s="11" t="n">
        <x:v>49</x:v>
      </x:c>
      <x:c r="B75" s="11" t="str">
        <x:v>deletion_at</x:v>
      </x:c>
      <x:c r="C75" s="11" t="str">
        <x:v>supported</x:v>
      </x:c>
      <x:c r="D75" s="11" t="str">
        <x:v>[프리미엄 코인샵]트로피컬 바캉스 무기 아바타 상자</x:v>
      </x:c>
      <x:c r="E75" s="11" t="str">
        <x:v>deletion_at</x:v>
      </x:c>
      <x:c r="F75" s="11" t="str">
        <x:v>datetime</x:v>
      </x:c>
      <x:c r="G75" s="11" t="str">
        <x:v>["2026-08-27T06:00:00+09:00"]</x:v>
      </x:c>
      <x:c r="H75" s="11" t="n">
        <x:v>1</x:v>
      </x:c>
      <x:c r="I75" s="11" t="str">
        <x:v>| [프리미엄 코인샵]트로피컬 바캉스 무기 아바타 상자 | 2개 | 계정당 5회 | 2026년 8월 27일 06시 |</x:v>
      </x:c>
      <x:c r="J75" s="11" t="str">
        <x:v>프리미엄 코인샵</x:v>
      </x:c>
      <x:c r="K75" s="11" t="str">
        <x:v>document_sha256_dde0974f824042704eff7e7c8f0fed589a3c70bcd1d43f7dd48f641272cbccdf</x:v>
      </x:c>
      <x:c r="L75" s="11" t="str">
        <x:v>chunk_sha256_f002c2893434cb114c5a48d9c4b80d195b722d24b0a5a0ad57cbea04b3ab5c7d</x:v>
      </x:c>
      <x:c r="M75" s="11" t="n">
        <x:v>328</x:v>
      </x:c>
      <x:c r="N75" s="11" t="n">
        <x:v>393</x:v>
      </x:c>
      <x:c r="O75" s="11" t="str">
        <x:v>https://df.nexon.com/community/news/seriashop/378</x:v>
      </x:c>
    </x:row>
    <x:row r="76" ht="54" customHeight="1">
      <x:c r="A76" s="11" t="n">
        <x:v>50</x:v>
      </x:c>
      <x:c r="B76" s="11" t="str">
        <x:v>applies_to_amplification</x:v>
      </x:c>
      <x:c r="C76" s="11" t="str">
        <x:v>supported</x:v>
      </x:c>
      <x:c r="D76" s="11" t="str">
        <x:v>장비 보호권</x:v>
      </x:c>
      <x:c r="E76" s="11" t="str">
        <x:v>applies_to_amplification</x:v>
      </x:c>
      <x:c r="F76" s="11" t="str">
        <x:v>boolean</x:v>
      </x:c>
      <x:c r="G76" s="11" t="str">
        <x:v>[false]</x:v>
      </x:c>
      <x:c r="H76" s="11" t="n">
        <x:v>1</x:v>
      </x:c>
      <x:c r="I76" s="11" t="str">
        <x:v>| 장비 보호권 | 9,800 세라 | 교환가능 | NPC 키리의 강화 메뉴나 1회용 강화기를 사용해서 무기를 13강 이상 / 그 외 장비를 11강 이상으로 강화에 시도하는 경우, 강화에 실패하여 장비가 파괴될 때 캐릭터 인벤토리에 있는 장비 보호권 1개가 자동으로 소모되면서 장비를 보호합니다. 파괴로부터 보호된 장비는 강화 수치가 +0이 됩니다. 증폭에는 적용 되지 않습니다. | 무제한 | |</x:v>
      </x:c>
      <x:c r="J76" s="11" t="str">
        <x:v>[아이템]장비</x:v>
      </x:c>
      <x:c r="K76" s="11" t="str">
        <x:v>document_sha256_b0daa81f2cf1dd45e310438e756758286acf699da12fbfe67e0104c5d4dc9396</x:v>
      </x:c>
      <x:c r="L76" s="11" t="str">
        <x:v>chunk_sha256_2e9a0d7f09542e4cb1f2cdc72626b889a161141499c5adc06c6bef606d9b5866</x:v>
      </x:c>
      <x:c r="M76" s="11" t="n">
        <x:v>432</x:v>
      </x:c>
      <x:c r="N76" s="11" t="n">
        <x:v>654</x:v>
      </x:c>
      <x:c r="O76" s="11" t="str">
        <x:v>https://df.nexon.com/community/news/seriashop/634</x:v>
      </x:c>
    </x:row>
    <x:row r="77" ht="54" customHeight="1">
      <x:c r="A77" s="11" t="n">
        <x:v>51</x:v>
      </x:c>
      <x:c r="B77" s="11" t="str">
        <x:v>top_price</x:v>
      </x:c>
      <x:c r="C77" s="11" t="str">
        <x:v>supported</x:v>
      </x:c>
      <x:c r="D77" s="11" t="str">
        <x:v>상의 아바타</x:v>
      </x:c>
      <x:c r="E77" s="11" t="str">
        <x:v>price</x:v>
      </x:c>
      <x:c r="F77" s="11" t="str">
        <x:v>currency</x:v>
      </x:c>
      <x:c r="G77" s="11" t="str">
        <x:v>[{"amount":6500,"unit":"세라"}]</x:v>
      </x:c>
      <x:c r="H77" s="11" t="n">
        <x:v>1</x:v>
      </x:c>
      <x:c r="I77" s="11" t="str">
        <x:v>| 상의 | 6,500 세라 |</x:v>
      </x:c>
      <x:c r="J77" s="11" t="str">
        <x:v>[아바타]아바타 관련 안내</x:v>
      </x:c>
      <x:c r="K77" s="11" t="str">
        <x:v>document_sha256_2ea2a1983638bd8aaf07d2d083ebc8dd191d95d40d4e561af31168af00175687</x:v>
      </x:c>
      <x:c r="L77" s="11" t="str">
        <x:v>chunk_sha256_7b9d2851a009250dd3d8d0c52753cc9530b1ccbd942614e5bcd0fb815dfac5ba</x:v>
      </x:c>
      <x:c r="M77" s="11" t="n">
        <x:v>276</x:v>
      </x:c>
      <x:c r="N77" s="11" t="n">
        <x:v>293</x:v>
      </x:c>
      <x:c r="O77" s="11" t="str">
        <x:v>https://df.nexon.com/community/news/seriashop/647</x:v>
      </x:c>
    </x:row>
    <x:row r="78" ht="54" customHeight="1">
      <x:c r="A78" s="11" t="n">
        <x:v>51</x:v>
      </x:c>
      <x:c r="B78" s="11" t="str">
        <x:v>clone_top_price</x:v>
      </x:c>
      <x:c r="C78" s="11" t="str">
        <x:v>supported</x:v>
      </x:c>
      <x:c r="D78" s="11" t="str">
        <x:v>상의 클론 아바타</x:v>
      </x:c>
      <x:c r="E78" s="11" t="str">
        <x:v>price</x:v>
      </x:c>
      <x:c r="F78" s="11" t="str">
        <x:v>currency</x:v>
      </x:c>
      <x:c r="G78" s="11" t="str">
        <x:v>[{"amount":2600,"unit":"세라"}]</x:v>
      </x:c>
      <x:c r="H78" s="11" t="n">
        <x:v>1</x:v>
      </x:c>
      <x:c r="I78" s="11" t="str">
        <x:v>| 상의 클론 | 2,600 세라 |</x:v>
      </x:c>
      <x:c r="J78" s="11" t="str">
        <x:v>[아바타]아바타 관련 안내</x:v>
      </x:c>
      <x:c r="K78" s="11" t="str">
        <x:v>document_sha256_2ea2a1983638bd8aaf07d2d083ebc8dd191d95d40d4e561af31168af00175687</x:v>
      </x:c>
      <x:c r="L78" s="11" t="str">
        <x:v>chunk_sha256_f7f4b19f8fa40966f97c062f8dcec6e9fa43323c3cf3986703fe43b9474d82e0</x:v>
      </x:c>
      <x:c r="M78" s="11" t="n">
        <x:v>1055</x:v>
      </x:c>
      <x:c r="N78" s="11" t="n">
        <x:v>1075</x:v>
      </x:c>
      <x:c r="O78" s="11" t="str">
        <x:v>https://df.nexon.com/community/news/seriashop/647</x:v>
      </x:c>
    </x:row>
    <x:row r="79" ht="54" customHeight="1">
      <x:c r="A79" s="11" t="n">
        <x:v>52</x:v>
      </x:c>
      <x:c r="B79" s="11" t="str">
        <x:v>price</x:v>
      </x:c>
      <x:c r="C79" s="11" t="str">
        <x:v>supported</x:v>
      </x:c>
      <x:c r="D79" s="11" t="str">
        <x:v>통큰 패키지 A</x:v>
      </x:c>
      <x:c r="E79" s="11" t="str">
        <x:v>price</x:v>
      </x:c>
      <x:c r="F79" s="11" t="str">
        <x:v>currency</x:v>
      </x:c>
      <x:c r="G79" s="11" t="str">
        <x:v>[{"amount":22600,"unit":"세라"}]</x:v>
      </x:c>
      <x:c r="H79" s="11" t="n">
        <x:v>1</x:v>
      </x:c>
      <x:c r="I79" s="11" t="str">
        <x:v>| 통큰 패키지 A | 22,600 세라 | 계정귀속 | 달인의 계약 30일, 패왕의 계약 30일, 가브리엘의 계약 30일, 해방의 열쇠 10개가 들어 있습니다. 가브리엘의 계약 : 가브리엘의 등장확률과 판매종류 및 개수가 증가합니다.(단, 에픽조각교환 가브리엘은 제외) | 무제한 | |</x:v>
      </x:c>
      <x:c r="J79" s="11" t="str">
        <x:v>[아이템] 기타</x:v>
      </x:c>
      <x:c r="K79" s="11" t="str">
        <x:v>document_sha256_378049759f0825db5bf34244015033332f4487db2e41dbde25db1f81bb78a045</x:v>
      </x:c>
      <x:c r="L79" s="11" t="str">
        <x:v>chunk_sha256_8ed3e3b0a1e1e2ecbc934f274dd8662b55e141689d21297ef64c01a7374abb96</x:v>
      </x:c>
      <x:c r="M79" s="11" t="n">
        <x:v>225</x:v>
      </x:c>
      <x:c r="N79" s="11" t="n">
        <x:v>386</x:v>
      </x:c>
      <x:c r="O79" s="11" t="str">
        <x:v>https://df.nexon.com/community/news/seriashop/641</x:v>
      </x:c>
    </x:row>
    <x:row r="80" ht="54" customHeight="1">
      <x:c r="A80" s="11" t="n">
        <x:v>52</x:v>
      </x:c>
      <x:c r="B80" s="11" t="str">
        <x:v>trade_type</x:v>
      </x:c>
      <x:c r="C80" s="11" t="str">
        <x:v>supported</x:v>
      </x:c>
      <x:c r="D80" s="11" t="str">
        <x:v>통큰 패키지 A</x:v>
      </x:c>
      <x:c r="E80" s="11" t="str">
        <x:v>trade_type</x:v>
      </x:c>
      <x:c r="F80" s="11" t="str">
        <x:v>enum</x:v>
      </x:c>
      <x:c r="G80" s="11" t="str">
        <x:v>["계정귀속"]</x:v>
      </x:c>
      <x:c r="H80" s="11" t="n">
        <x:v>1</x:v>
      </x:c>
      <x:c r="I80" s="11" t="str">
        <x:v>| 통큰 패키지 A | 22,600 세라 | 계정귀속 | 달인의 계약 30일, 패왕의 계약 30일, 가브리엘의 계약 30일, 해방의 열쇠 10개가 들어 있습니다. 가브리엘의 계약 : 가브리엘의 등장확률과 판매종류 및 개수가 증가합니다.(단, 에픽조각교환 가브리엘은 제외) | 무제한 | |</x:v>
      </x:c>
      <x:c r="J80" s="11" t="str">
        <x:v>[아이템] 기타</x:v>
      </x:c>
      <x:c r="K80" s="11" t="str">
        <x:v>document_sha256_378049759f0825db5bf34244015033332f4487db2e41dbde25db1f81bb78a045</x:v>
      </x:c>
      <x:c r="L80" s="11" t="str">
        <x:v>chunk_sha256_8ed3e3b0a1e1e2ecbc934f274dd8662b55e141689d21297ef64c01a7374abb96</x:v>
      </x:c>
      <x:c r="M80" s="11" t="n">
        <x:v>225</x:v>
      </x:c>
      <x:c r="N80" s="11" t="n">
        <x:v>386</x:v>
      </x:c>
      <x:c r="O80" s="11" t="str">
        <x:v>https://df.nexon.com/community/news/seriashop/641</x:v>
      </x:c>
    </x:row>
    <x:row r="81" ht="54" customHeight="1">
      <x:c r="A81" s="11" t="n">
        <x:v>52</x:v>
      </x:c>
      <x:c r="B81" s="11" t="str">
        <x:v>duration</x:v>
      </x:c>
      <x:c r="C81" s="11" t="str">
        <x:v>supported</x:v>
      </x:c>
      <x:c r="D81" s="11" t="str">
        <x:v>통큰 패키지 A</x:v>
      </x:c>
      <x:c r="E81" s="11" t="str">
        <x:v>duration</x:v>
      </x:c>
      <x:c r="F81" s="11" t="str">
        <x:v>enum</x:v>
      </x:c>
      <x:c r="G81" s="11" t="str">
        <x:v>["무제한"]</x:v>
      </x:c>
      <x:c r="H81" s="11" t="n">
        <x:v>1</x:v>
      </x:c>
      <x:c r="I81" s="11" t="str">
        <x:v>| 통큰 패키지 A | 22,600 세라 | 계정귀속 | 달인의 계약 30일, 패왕의 계약 30일, 가브리엘의 계약 30일, 해방의 열쇠 10개가 들어 있습니다. 가브리엘의 계약 : 가브리엘의 등장확률과 판매종류 및 개수가 증가합니다.(단, 에픽조각교환 가브리엘은 제외) | 무제한 | |</x:v>
      </x:c>
      <x:c r="J81" s="11" t="str">
        <x:v>[아이템] 기타</x:v>
      </x:c>
      <x:c r="K81" s="11" t="str">
        <x:v>document_sha256_378049759f0825db5bf34244015033332f4487db2e41dbde25db1f81bb78a045</x:v>
      </x:c>
      <x:c r="L81" s="11" t="str">
        <x:v>chunk_sha256_8ed3e3b0a1e1e2ecbc934f274dd8662b55e141689d21297ef64c01a7374abb96</x:v>
      </x:c>
      <x:c r="M81" s="11" t="n">
        <x:v>225</x:v>
      </x:c>
      <x:c r="N81" s="11" t="n">
        <x:v>386</x:v>
      </x:c>
      <x:c r="O81" s="11" t="str">
        <x:v>https://df.nexon.com/community/news/seriashop/641</x:v>
      </x:c>
    </x:row>
    <x:row r="82" ht="54" customHeight="1">
      <x:c r="A82" s="11" t="n">
        <x:v>53</x:v>
      </x:c>
      <x:c r="B82" s="11" t="str">
        <x:v>price</x:v>
      </x:c>
      <x:c r="C82" s="11" t="str">
        <x:v>supported</x:v>
      </x:c>
      <x:c r="D82" s="11" t="str">
        <x:v>증폭 보호권</x:v>
      </x:c>
      <x:c r="E82" s="11" t="str">
        <x:v>price</x:v>
      </x:c>
      <x:c r="F82" s="11" t="str">
        <x:v>currency</x:v>
      </x:c>
      <x:c r="G82" s="11" t="str">
        <x:v>[{"amount":12900,"unit":"세라"}]</x:v>
      </x:c>
      <x:c r="H82" s="11" t="n">
        <x:v>1</x:v>
      </x:c>
      <x:c r="I82" s="11" t="str">
        <x:v>| 증폭 보호권 | 12,900 세라 | 교환가능 |</x:v>
      </x:c>
      <x:c r="J82" s="11" t="str">
        <x:v>[아이템]장비</x:v>
      </x:c>
      <x:c r="K82" s="11" t="str">
        <x:v>document_sha256_b0daa81f2cf1dd45e310438e756758286acf699da12fbfe67e0104c5d4dc9396</x:v>
      </x:c>
      <x:c r="L82" s="11" t="str">
        <x:v>chunk_sha256_2e9a0d7f09542e4cb1f2cdc72626b889a161141499c5adc06c6bef606d9b5866</x:v>
      </x:c>
      <x:c r="M82" s="11" t="n">
        <x:v>224</x:v>
      </x:c>
      <x:c r="N82" s="11" t="n">
        <x:v>253</x:v>
      </x:c>
      <x:c r="O82" s="11" t="str">
        <x:v>https://df.nexon.com/community/news/seriashop/634</x:v>
      </x:c>
    </x:row>
    <x:row r="83" ht="54" customHeight="1">
      <x:c r="A83" s="11" t="n">
        <x:v>53</x:v>
      </x:c>
      <x:c r="B83" s="11" t="str">
        <x:v>trade_type</x:v>
      </x:c>
      <x:c r="C83" s="11" t="str">
        <x:v>supported</x:v>
      </x:c>
      <x:c r="D83" s="11" t="str">
        <x:v>증폭 보호권</x:v>
      </x:c>
      <x:c r="E83" s="11" t="str">
        <x:v>trade_type</x:v>
      </x:c>
      <x:c r="F83" s="11" t="str">
        <x:v>enum</x:v>
      </x:c>
      <x:c r="G83" s="11" t="str">
        <x:v>["교환가능"]</x:v>
      </x:c>
      <x:c r="H83" s="11" t="n">
        <x:v>1</x:v>
      </x:c>
      <x:c r="I83" s="11" t="str">
        <x:v>| 증폭 보호권 | 12,900 세라 | 교환가능 |</x:v>
      </x:c>
      <x:c r="J83" s="11" t="str">
        <x:v>[아이템]장비</x:v>
      </x:c>
      <x:c r="K83" s="11" t="str">
        <x:v>document_sha256_b0daa81f2cf1dd45e310438e756758286acf699da12fbfe67e0104c5d4dc9396</x:v>
      </x:c>
      <x:c r="L83" s="11" t="str">
        <x:v>chunk_sha256_2e9a0d7f09542e4cb1f2cdc72626b889a161141499c5adc06c6bef606d9b5866</x:v>
      </x:c>
      <x:c r="M83" s="11" t="n">
        <x:v>224</x:v>
      </x:c>
      <x:c r="N83" s="11" t="n">
        <x:v>253</x:v>
      </x:c>
      <x:c r="O83" s="11" t="str">
        <x:v>https://df.nexon.com/community/news/seriashop/634</x:v>
      </x:c>
    </x:row>
    <x:row r="84" ht="54" customHeight="1">
      <x:c r="A84" s="11" t="n">
        <x:v>54</x:v>
      </x:c>
      <x:c r="B84" s="11" t="str">
        <x:v>gold_coin_price</x:v>
      </x:c>
      <x:c r="C84" s="11" t="str">
        <x:v>supported</x:v>
      </x:c>
      <x:c r="D84" s="11" t="str">
        <x:v>피부 아바타</x:v>
      </x:c>
      <x:c r="E84" s="11" t="str">
        <x:v>gold_coin_price</x:v>
      </x:c>
      <x:c r="F84" s="11" t="str">
        <x:v>currency</x:v>
      </x:c>
      <x:c r="G84" s="11" t="str">
        <x:v>[{"amount":10,"unit":"골드 코인"}]</x:v>
      </x:c>
      <x:c r="H84" s="11" t="n">
        <x:v>1</x:v>
      </x:c>
      <x:c r="I84" s="11" t="str">
        <x:v>| 피부 | 10 골드 코인 | 교환불가 |</x:v>
      </x:c>
      <x:c r="J84" s="11" t="str">
        <x:v>[아바타]아바타 관련 안내</x:v>
      </x:c>
      <x:c r="K84" s="11" t="str">
        <x:v>document_sha256_2ea2a1983638bd8aaf07d2d083ebc8dd191d95d40d4e561af31168af00175687</x:v>
      </x:c>
      <x:c r="L84" s="11" t="str">
        <x:v>chunk_sha256_a690de0a5155d8fae91debe323d632a7eab908e4979f8f9382a660bb44449428</x:v>
      </x:c>
      <x:c r="M84" s="11" t="n">
        <x:v>475</x:v>
      </x:c>
      <x:c r="N84" s="11" t="n">
        <x:v>499</x:v>
      </x:c>
      <x:c r="O84" s="11" t="str">
        <x:v>https://df.nexon.com/community/news/seriashop/647</x:v>
      </x:c>
    </x:row>
    <x:row r="85" ht="54" customHeight="1">
      <x:c r="A85" s="11" t="n">
        <x:v>55</x:v>
      </x:c>
      <x:c r="B85" s="11" t="str">
        <x:v>price</x:v>
      </x:c>
      <x:c r="C85" s="11" t="str">
        <x:v>supported</x:v>
      </x:c>
      <x:c r="D85" s="11" t="str">
        <x:v>하트비트 메가폰 10개</x:v>
      </x:c>
      <x:c r="E85" s="11" t="str">
        <x:v>price</x:v>
      </x:c>
      <x:c r="F85" s="11" t="str">
        <x:v>currency</x:v>
      </x:c>
      <x:c r="G85" s="11" t="str">
        <x:v>[{"amount":5800,"unit":"세라"}]</x:v>
      </x:c>
      <x:c r="H85" s="11" t="n">
        <x:v>1</x:v>
      </x:c>
      <x:c r="I85" s="11" t="str">
        <x:v>| 하트비트 메가폰 10개 | 5,800 세라 | 교환가능 |</x:v>
      </x:c>
      <x:c r="J85" s="11" t="str">
        <x:v>[아이템] 기타</x:v>
      </x:c>
      <x:c r="K85" s="11" t="str">
        <x:v>document_sha256_378049759f0825db5bf34244015033332f4487db2e41dbde25db1f81bb78a045</x:v>
      </x:c>
      <x:c r="L85" s="11" t="str">
        <x:v>chunk_sha256_020577dbaf08b828fbeeb73f527ab3b60ee7d151c6cb86c78895ed8f6ab613c4</x:v>
      </x:c>
      <x:c r="M85" s="11" t="n">
        <x:v>330</x:v>
      </x:c>
      <x:c r="N85" s="11" t="n">
        <x:v>364</x:v>
      </x:c>
      <x:c r="O85" s="11" t="str">
        <x:v>https://df.nexon.com/community/news/seriashop/641</x:v>
      </x:c>
    </x:row>
    <x:row r="86" ht="54" customHeight="1">
      <x:c r="A86" s="11" t="n">
        <x:v>55</x:v>
      </x:c>
      <x:c r="B86" s="11" t="str">
        <x:v>purchase_limit</x:v>
      </x:c>
      <x:c r="C86" s="11" t="str">
        <x:v>unsupported</x:v>
      </x:c>
      <x:c r="D86" s="11" t="str">
        <x:v>하트비트 메가폰 10개</x:v>
      </x:c>
      <x:c r="E86" s="11" t="str">
        <x:v>account_purchase_limit</x:v>
      </x:c>
      <x:c r="F86" s="11" t="str">
        <x:v>number</x:v>
      </x:c>
      <x:c r="G86" s="11" t="str">
        <x:v>[]</x:v>
      </x:c>
      <x:c r="H86" s="11" t="n">
        <x:v>0</x:v>
      </x:c>
      <x:c r="I86" s="11" t="str">
        <x:v>(공식 문서에서 근거 없음)</x:v>
      </x:c>
      <x:c r="J86" s="11" t="str">
        <x:v>[아이템] 기타</x:v>
      </x:c>
      <x:c r="K86" s="11" t="str">
        <x:v>document_sha256_378049759f0825db5bf34244015033332f4487db2e41dbde25db1f81bb78a045</x:v>
      </x:c>
      <x:c r="L86" s="11"/>
      <x:c r="M86" s="11"/>
      <x:c r="N86" s="11"/>
      <x:c r="O86" s="11" t="str">
        <x:v>https://df.nexon.com/community/news/seriashop/641</x:v>
      </x:c>
    </x:row>
    <x:row r="87" ht="54" customHeight="1">
      <x:c r="A87" s="11" t="n">
        <x:v>56</x:v>
      </x:c>
      <x:c r="B87" s="11" t="str">
        <x:v>usable_locations</x:v>
      </x:c>
      <x:c r="C87" s="11" t="str">
        <x:v>supported</x:v>
      </x:c>
      <x:c r="D87" s="11" t="str">
        <x:v>무한 올빼미</x:v>
      </x:c>
      <x:c r="E87" s="11" t="str">
        <x:v>usable_locations</x:v>
      </x:c>
      <x:c r="F87" s="11" t="str">
        <x:v>entity_list</x:v>
      </x:c>
      <x:c r="G87" s="11" t="str">
        <x:v>["마을","던전"]</x:v>
      </x:c>
      <x:c r="H87" s="11" t="n">
        <x:v>1</x:v>
      </x:c>
      <x:c r="I87" s="11" t="str">
        <x:v>마을, 던전에서 사용이 가능합니다.</x:v>
      </x:c>
      <x:c r="J87" s="11" t="str">
        <x:v>[아이템] 기타</x:v>
      </x:c>
      <x:c r="K87" s="11" t="str">
        <x:v>document_sha256_378049759f0825db5bf34244015033332f4487db2e41dbde25db1f81bb78a045</x:v>
      </x:c>
      <x:c r="L87" s="11" t="str">
        <x:v>chunk_sha256_8ed3e3b0a1e1e2ecbc934f274dd8662b55e141689d21297ef64c01a7374abb96</x:v>
      </x:c>
      <x:c r="M87" s="11" t="n">
        <x:v>612</x:v>
      </x:c>
      <x:c r="N87" s="11" t="n">
        <x:v>631</x:v>
      </x:c>
      <x:c r="O87" s="11" t="str">
        <x:v>https://df.nexon.com/community/news/seriashop/641</x:v>
      </x:c>
    </x:row>
    <x:row r="88" ht="54" customHeight="1">
      <x:c r="A88" s="11" t="n">
        <x:v>57</x:v>
      </x:c>
      <x:c r="B88" s="11" t="str">
        <x:v>sale_period</x:v>
      </x:c>
      <x:c r="C88" s="11" t="str">
        <x:v>supported</x:v>
      </x:c>
      <x:c r="D88" s="11" t="str">
        <x:v>7월 이달의 아이템</x:v>
      </x:c>
      <x:c r="E88" s="11" t="str">
        <x:v>sale_period</x:v>
      </x:c>
      <x:c r="F88" s="11" t="str">
        <x:v>date_range</x:v>
      </x:c>
      <x:c r="G88" s="11" t="str">
        <x:v>["2026-06-25","2026-07-30"]</x:v>
      </x:c>
      <x:c r="H88" s="11" t="n">
        <x:v>1</x:v>
      </x:c>
      <x:c r="I88" s="11" t="str">
        <x:v>판매기간: 06.25 ~ 07.30</x:v>
      </x:c>
      <x:c r="J88" s="11" t="str">
        <x:v>이달의 아이템</x:v>
      </x:c>
      <x:c r="K88" s="11" t="str">
        <x:v>document_sha256_e1b41518d35b1284a3a07936b23f997653287b5b25426f6aca4cb04ac6eaa98e</x:v>
      </x:c>
      <x:c r="L88" s="11" t="str">
        <x:v>chunk_sha256_d23a0df67a37d463f0221e3e9bfbd4fd8a65bd4b2577478c7573239523ef6043</x:v>
      </x:c>
      <x:c r="M88" s="11" t="n">
        <x:v>119</x:v>
      </x:c>
      <x:c r="N88" s="11" t="n">
        <x:v>138</x:v>
      </x:c>
      <x:c r="O88" s="11" t="str">
        <x:v>https://df.nexon.com/community/news/monthlyitem</x:v>
      </x:c>
    </x:row>
    <x:row r="89" ht="54" customHeight="1">
      <x:c r="A89" s="11" t="n">
        <x:v>58</x:v>
      </x:c>
      <x:c r="B89" s="11" t="str">
        <x:v>tradeable</x:v>
      </x:c>
      <x:c r="C89" s="11" t="str">
        <x:v>supported</x:v>
      </x:c>
      <x:c r="D89" s="11" t="str">
        <x:v>7월 이달의 아이템</x:v>
      </x:c>
      <x:c r="E89" s="11" t="str">
        <x:v>is_tradeable</x:v>
      </x:c>
      <x:c r="F89" s="11" t="str">
        <x:v>boolean</x:v>
      </x:c>
      <x:c r="G89" s="11" t="str">
        <x:v>[true]</x:v>
      </x:c>
      <x:c r="H89" s="11" t="n">
        <x:v>1</x:v>
      </x:c>
      <x:c r="I89" s="11" t="str">
        <x:v>거래타입
교환가능</x:v>
      </x:c>
      <x:c r="J89" s="11" t="str">
        <x:v>이달의 아이템</x:v>
      </x:c>
      <x:c r="K89" s="11" t="str">
        <x:v>document_sha256_e1b41518d35b1284a3a07936b23f997653287b5b25426f6aca4cb04ac6eaa98e</x:v>
      </x:c>
      <x:c r="L89" s="11" t="str">
        <x:v>chunk_sha256_d23a0df67a37d463f0221e3e9bfbd4fd8a65bd4b2577478c7573239523ef6043</x:v>
      </x:c>
      <x:c r="M89" s="11" t="n">
        <x:v>258</x:v>
      </x:c>
      <x:c r="N89" s="11" t="n">
        <x:v>267</x:v>
      </x:c>
      <x:c r="O89" s="11" t="str">
        <x:v>https://df.nexon.com/community/news/monthlyitem</x:v>
      </x:c>
    </x:row>
    <x:row r="90" ht="54" customHeight="1">
      <x:c r="A90" s="11" t="n">
        <x:v>59</x:v>
      </x:c>
      <x:c r="B90" s="11" t="str">
        <x:v>obtained_items</x:v>
      </x:c>
      <x:c r="C90" s="11" t="str">
        <x:v>supported</x:v>
      </x:c>
      <x:c r="D90" s="11" t="str">
        <x:v>7월 이달의 아이템</x:v>
      </x:c>
      <x:c r="E90" s="11" t="str">
        <x:v>obtained_items</x:v>
      </x:c>
      <x:c r="F90" s="11" t="str">
        <x:v>entity_list</x:v>
      </x:c>
      <x:c r="G90" s="11" t="str">
        <x:v>["[7월]클론 레어 아바타(교환불가) 풀세트 상자","[7월]찬란한 엠블렘(계정귀속) 풀세트 선택상자"]</x:v>
      </x:c>
      <x:c r="H90" s="11" t="n">
        <x:v>1</x:v>
      </x:c>
      <x:c r="I90" s="11" t="str">
        <x:v>[7월]클론 레어 아바타(교환불가) 풀세트 상자</x:v>
      </x:c>
      <x:c r="J90" s="11" t="str">
        <x:v>이달의 아이템</x:v>
      </x:c>
      <x:c r="K90" s="11" t="str">
        <x:v>document_sha256_e1b41518d35b1284a3a07936b23f997653287b5b25426f6aca4cb04ac6eaa98e</x:v>
      </x:c>
      <x:c r="L90" s="11" t="str">
        <x:v>chunk_sha256_d23a0df67a37d463f0221e3e9bfbd4fd8a65bd4b2577478c7573239523ef6043</x:v>
      </x:c>
      <x:c r="M90" s="11" t="n">
        <x:v>174</x:v>
      </x:c>
      <x:c r="N90" s="11" t="n">
        <x:v>200</x:v>
      </x:c>
      <x:c r="O90" s="11" t="str">
        <x:v>https://df.nexon.com/community/news/monthlyitem</x:v>
      </x:c>
    </x:row>
    <x:row r="91" ht="54" customHeight="1">
      <x:c r="A91" s="11" t="n">
        <x:v>59</x:v>
      </x:c>
      <x:c r="B91" s="11" t="str">
        <x:v>obtained_items</x:v>
      </x:c>
      <x:c r="C91" s="11" t="str">
        <x:v>supported</x:v>
      </x:c>
      <x:c r="D91" s="11" t="str">
        <x:v>7월 이달의 아이템</x:v>
      </x:c>
      <x:c r="E91" s="11" t="str">
        <x:v>obtained_items</x:v>
      </x:c>
      <x:c r="F91" s="11" t="str">
        <x:v>entity_list</x:v>
      </x:c>
      <x:c r="G91" s="11" t="str">
        <x:v>["[7월]클론 레어 아바타(교환불가) 풀세트 상자","[7월]찬란한 엠블렘(계정귀속) 풀세트 선택상자"]</x:v>
      </x:c>
      <x:c r="H91" s="11" t="n">
        <x:v>2</x:v>
      </x:c>
      <x:c r="I91" s="11" t="str">
        <x:v>[7월]찬란한 엠블렘(계정귀속) 풀세트 선택상자</x:v>
      </x:c>
      <x:c r="J91" s="11" t="str">
        <x:v>이달의 아이템</x:v>
      </x:c>
      <x:c r="K91" s="11" t="str">
        <x:v>document_sha256_e1b41518d35b1284a3a07936b23f997653287b5b25426f6aca4cb04ac6eaa98e</x:v>
      </x:c>
      <x:c r="L91" s="11" t="str">
        <x:v>chunk_sha256_d23a0df67a37d463f0221e3e9bfbd4fd8a65bd4b2577478c7573239523ef6043</x:v>
      </x:c>
      <x:c r="M91" s="11" t="n">
        <x:v>202</x:v>
      </x:c>
      <x:c r="N91" s="11" t="n">
        <x:v>228</x:v>
      </x:c>
      <x:c r="O91" s="11" t="str">
        <x:v>https://df.nexon.com/community/news/monthlyitem</x:v>
      </x:c>
    </x:row>
    <x:row r="92" ht="54" customHeight="1">
      <x:c r="A92" s="11" t="n">
        <x:v>60</x:v>
      </x:c>
      <x:c r="B92" s="11" t="str">
        <x:v>shop_price</x:v>
      </x:c>
      <x:c r="C92" s="11" t="str">
        <x:v>supported</x:v>
      </x:c>
      <x:c r="D92" s="11" t="str">
        <x:v>7월 이달의 아이템</x:v>
      </x:c>
      <x:c r="E92" s="11" t="str">
        <x:v>shop_price</x:v>
      </x:c>
      <x:c r="F92" s="11" t="str">
        <x:v>currency</x:v>
      </x:c>
      <x:c r="G92" s="11" t="str">
        <x:v>[{"amount":40000000,"unit":"골드"}]</x:v>
      </x:c>
      <x:c r="H92" s="11" t="n">
        <x:v>1</x:v>
      </x:c>
      <x:c r="I92" s="11" t="str">
        <x:v>상점판매가
4,000만 골드</x:v>
      </x:c>
      <x:c r="J92" s="11" t="str">
        <x:v>이달의 아이템</x:v>
      </x:c>
      <x:c r="K92" s="11" t="str">
        <x:v>document_sha256_e1b41518d35b1284a3a07936b23f997653287b5b25426f6aca4cb04ac6eaa98e</x:v>
      </x:c>
      <x:c r="L92" s="11" t="str">
        <x:v>chunk_sha256_d23a0df67a37d463f0221e3e9bfbd4fd8a65bd4b2577478c7573239523ef6043</x:v>
      </x:c>
      <x:c r="M92" s="11" t="n">
        <x:v>242</x:v>
      </x:c>
      <x:c r="N92" s="11" t="n">
        <x:v>257</x:v>
      </x:c>
      <x:c r="O92" s="11" t="str">
        <x:v>https://df.nexon.com/community/news/monthlyitem</x:v>
      </x:c>
    </x:row>
    <x:row r="93" ht="54" customHeight="1">
      <x:c r="A93" s="11" t="n">
        <x:v>60</x:v>
      </x:c>
      <x:c r="B93" s="11" t="str">
        <x:v>deletion_at</x:v>
      </x:c>
      <x:c r="C93" s="11" t="str">
        <x:v>supported</x:v>
      </x:c>
      <x:c r="D93" s="11" t="str">
        <x:v>7월 이달의 아이템</x:v>
      </x:c>
      <x:c r="E93" s="11" t="str">
        <x:v>deletion_at</x:v>
      </x:c>
      <x:c r="F93" s="11" t="str">
        <x:v>datetime</x:v>
      </x:c>
      <x:c r="G93" s="11" t="str">
        <x:v>["2026-08-13T06:00:00+09:00"]</x:v>
      </x:c>
      <x:c r="H93" s="11" t="n">
        <x:v>1</x:v>
      </x:c>
      <x:c r="I93" s="11" t="str">
        <x:v>2026년 08월 13일 06시 일괄삭제</x:v>
      </x:c>
      <x:c r="J93" s="11" t="str">
        <x:v>이달의 아이템</x:v>
      </x:c>
      <x:c r="K93" s="11" t="str">
        <x:v>document_sha256_e1b41518d35b1284a3a07936b23f997653287b5b25426f6aca4cb04ac6eaa98e</x:v>
      </x:c>
      <x:c r="L93" s="11" t="str">
        <x:v>chunk_sha256_d23a0df67a37d463f0221e3e9bfbd4fd8a65bd4b2577478c7573239523ef6043</x:v>
      </x:c>
      <x:c r="M93" s="11" t="n">
        <x:v>273</x:v>
      </x:c>
      <x:c r="N93" s="11" t="n">
        <x:v>295</x:v>
      </x:c>
      <x:c r="O93" s="11" t="str">
        <x:v>https://df.nexon.com/community/news/monthlyitem</x:v>
      </x:c>
    </x:row>
    <x:row r="94" ht="54" customHeight="1">
      <x:c r="A94" s="11" t="n">
        <x:v>61</x:v>
      </x:c>
      <x:c r="B94" s="11" t="str">
        <x:v>trade_type</x:v>
      </x:c>
      <x:c r="C94" s="11" t="str">
        <x:v>supported</x:v>
      </x:c>
      <x:c r="D94" s="11" t="str">
        <x:v>7월 이달의 아이템</x:v>
      </x:c>
      <x:c r="E94" s="11" t="str">
        <x:v>trade_type</x:v>
      </x:c>
      <x:c r="F94" s="11" t="str">
        <x:v>enum</x:v>
      </x:c>
      <x:c r="G94" s="11" t="str">
        <x:v>["교환가능"]</x:v>
      </x:c>
      <x:c r="H94" s="11" t="n">
        <x:v>1</x:v>
      </x:c>
      <x:c r="I94" s="11" t="str">
        <x:v>거래타입
교환가능</x:v>
      </x:c>
      <x:c r="J94" s="11" t="str">
        <x:v>이달의 아이템</x:v>
      </x:c>
      <x:c r="K94" s="11" t="str">
        <x:v>document_sha256_e1b41518d35b1284a3a07936b23f997653287b5b25426f6aca4cb04ac6eaa98e</x:v>
      </x:c>
      <x:c r="L94" s="11" t="str">
        <x:v>chunk_sha256_d23a0df67a37d463f0221e3e9bfbd4fd8a65bd4b2577478c7573239523ef6043</x:v>
      </x:c>
      <x:c r="M94" s="11" t="n">
        <x:v>258</x:v>
      </x:c>
      <x:c r="N94" s="11" t="n">
        <x:v>267</x:v>
      </x:c>
      <x:c r="O94" s="11" t="str">
        <x:v>https://df.nexon.com/community/news/monthlyitem</x:v>
      </x:c>
    </x:row>
    <x:row r="95" ht="54" customHeight="1">
      <x:c r="A95" s="11" t="n">
        <x:v>61</x:v>
      </x:c>
      <x:c r="B95" s="11" t="str">
        <x:v>shop_price</x:v>
      </x:c>
      <x:c r="C95" s="11" t="str">
        <x:v>supported</x:v>
      </x:c>
      <x:c r="D95" s="11" t="str">
        <x:v>7월 이달의 아이템</x:v>
      </x:c>
      <x:c r="E95" s="11" t="str">
        <x:v>shop_price</x:v>
      </x:c>
      <x:c r="F95" s="11" t="str">
        <x:v>currency</x:v>
      </x:c>
      <x:c r="G95" s="11" t="str">
        <x:v>[{"amount":40000000,"unit":"골드"}]</x:v>
      </x:c>
      <x:c r="H95" s="11" t="n">
        <x:v>1</x:v>
      </x:c>
      <x:c r="I95" s="11" t="str">
        <x:v>상점판매가
4,000만 골드</x:v>
      </x:c>
      <x:c r="J95" s="11" t="str">
        <x:v>이달의 아이템</x:v>
      </x:c>
      <x:c r="K95" s="11" t="str">
        <x:v>document_sha256_e1b41518d35b1284a3a07936b23f997653287b5b25426f6aca4cb04ac6eaa98e</x:v>
      </x:c>
      <x:c r="L95" s="11" t="str">
        <x:v>chunk_sha256_d23a0df67a37d463f0221e3e9bfbd4fd8a65bd4b2577478c7573239523ef6043</x:v>
      </x:c>
      <x:c r="M95" s="11" t="n">
        <x:v>242</x:v>
      </x:c>
      <x:c r="N95" s="11" t="n">
        <x:v>257</x:v>
      </x:c>
      <x:c r="O95" s="11" t="str">
        <x:v>https://df.nexon.com/community/news/monthlyitem</x:v>
      </x:c>
    </x:row>
    <x:row r="96" ht="54" customHeight="1">
      <x:c r="A96" s="11" t="n">
        <x:v>62</x:v>
      </x:c>
      <x:c r="B96" s="11" t="str">
        <x:v>deletion_at</x:v>
      </x:c>
      <x:c r="C96" s="11" t="str">
        <x:v>supported</x:v>
      </x:c>
      <x:c r="D96" s="11" t="str">
        <x:v>6월 이달의 아이템</x:v>
      </x:c>
      <x:c r="E96" s="11" t="str">
        <x:v>deletion_at</x:v>
      </x:c>
      <x:c r="F96" s="11" t="str">
        <x:v>datetime</x:v>
      </x:c>
      <x:c r="G96" s="11" t="str">
        <x:v>["2026-07-09T06:00:00+09:00"]</x:v>
      </x:c>
      <x:c r="H96" s="11" t="n">
        <x:v>1</x:v>
      </x:c>
      <x:c r="I96" s="11" t="str">
        <x:v>2026년 7월 9일 06시 일괄삭제</x:v>
      </x:c>
      <x:c r="J96" s="11" t="str">
        <x:v>6월 이달 의 아이템</x:v>
      </x:c>
      <x:c r="K96" s="11" t="str">
        <x:v>document_sha256_8d15942b7c803029b811a23910302f2274bd00a85d68f3c8be8d1a6510122be6</x:v>
      </x:c>
      <x:c r="L96" s="11" t="str">
        <x:v>chunk_sha256_6ca94020f0661c022cf19032640d142d7c07b4e1c0a29f21bc9bf908059ba95b</x:v>
      </x:c>
      <x:c r="M96" s="11" t="n">
        <x:v>527</x:v>
      </x:c>
      <x:c r="N96" s="11" t="n">
        <x:v>547</x:v>
      </x:c>
      <x:c r="O96" s="11" t="str">
        <x:v>https://df.nexon.com/community/news/seriashop/622</x:v>
      </x:c>
    </x:row>
    <x:row r="97" ht="54" customHeight="1">
      <x:c r="A97" s="11" t="n">
        <x:v>63</x:v>
      </x:c>
      <x:c r="B97" s="11" t="str">
        <x:v>july_shop_price</x:v>
      </x:c>
      <x:c r="C97" s="11" t="str">
        <x:v>supported</x:v>
      </x:c>
      <x:c r="D97" s="11" t="str">
        <x:v>7월 이달의 아이템</x:v>
      </x:c>
      <x:c r="E97" s="11" t="str">
        <x:v>shop_price</x:v>
      </x:c>
      <x:c r="F97" s="11" t="str">
        <x:v>currency</x:v>
      </x:c>
      <x:c r="G97" s="11" t="str">
        <x:v>[{"amount":40000000,"unit":"골드"}]</x:v>
      </x:c>
      <x:c r="H97" s="11" t="n">
        <x:v>1</x:v>
      </x:c>
      <x:c r="I97" s="11" t="str">
        <x:v>상점판매가
4,000만 골드</x:v>
      </x:c>
      <x:c r="J97" s="11" t="str">
        <x:v>이달의 아이템</x:v>
      </x:c>
      <x:c r="K97" s="11" t="str">
        <x:v>document_sha256_e1b41518d35b1284a3a07936b23f997653287b5b25426f6aca4cb04ac6eaa98e</x:v>
      </x:c>
      <x:c r="L97" s="11" t="str">
        <x:v>chunk_sha256_d23a0df67a37d463f0221e3e9bfbd4fd8a65bd4b2577478c7573239523ef6043</x:v>
      </x:c>
      <x:c r="M97" s="11" t="n">
        <x:v>242</x:v>
      </x:c>
      <x:c r="N97" s="11" t="n">
        <x:v>257</x:v>
      </x:c>
      <x:c r="O97" s="11" t="str">
        <x:v>https://df.nexon.com/community/news/monthlyitem</x:v>
      </x:c>
    </x:row>
    <x:row r="98" ht="54" customHeight="1">
      <x:c r="A98" s="11" t="n">
        <x:v>63</x:v>
      </x:c>
      <x:c r="B98" s="11" t="str">
        <x:v>august_item_name</x:v>
      </x:c>
      <x:c r="C98" s="11" t="str">
        <x:v>unsupported</x:v>
      </x:c>
      <x:c r="D98" s="11" t="str">
        <x:v>8월 이달의 아이템</x:v>
      </x:c>
      <x:c r="E98" s="11" t="str">
        <x:v>item_name</x:v>
      </x:c>
      <x:c r="F98" s="11" t="str">
        <x:v>entity</x:v>
      </x:c>
      <x:c r="G98" s="11" t="str">
        <x:v>[]</x:v>
      </x:c>
      <x:c r="H98" s="11" t="n">
        <x:v>0</x:v>
      </x:c>
      <x:c r="I98" s="11" t="str">
        <x:v>(공식 문서에서 근거 없음)</x:v>
      </x:c>
      <x:c r="J98" s="11" t="str">
        <x:v>이달의 아이템</x:v>
      </x:c>
      <x:c r="K98" s="11" t="str">
        <x:v>document_sha256_e1b41518d35b1284a3a07936b23f997653287b5b25426f6aca4cb04ac6eaa98e</x:v>
      </x:c>
      <x:c r="L98" s="11"/>
      <x:c r="M98" s="11"/>
      <x:c r="N98" s="11"/>
      <x:c r="O98" s="11" t="str">
        <x:v>https://df.nexon.com/community/news/monthlyitem</x:v>
      </x:c>
    </x:row>
    <x:row r="99" ht="54" customHeight="1">
      <x:c r="A99" s="11" t="n">
        <x:v>64</x:v>
      </x:c>
      <x:c r="B99" s="11" t="str">
        <x:v>acquisition_method</x:v>
      </x:c>
      <x:c r="C99" s="11" t="str">
        <x:v>supported</x:v>
      </x:c>
      <x:c r="D99" s="11" t="str">
        <x:v>이달의 아이템</x:v>
      </x:c>
      <x:c r="E99" s="11" t="str">
        <x:v>acquisition_method</x:v>
      </x:c>
      <x:c r="F99" s="11" t="str">
        <x:v>text</x:v>
      </x:c>
      <x:c r="G99" s="11" t="str">
        <x:v>["해방의 열쇠로 봉인된 자물쇠를 열어 확률적으로 획득"]</x:v>
      </x:c>
      <x:c r="H99" s="11" t="n">
        <x:v>1</x:v>
      </x:c>
      <x:c r="I99" s="11" t="str">
        <x:v>세라샵에서 구매한 ‘해방의 열쇠’로 ‘봉인된 자물쇠’를 열어 특정 확률에 따라 이달의 아이템을 획득할 수 있습니다.</x:v>
      </x:c>
      <x:c r="J99" s="11" t="str">
        <x:v>이달의 아이템</x:v>
      </x:c>
      <x:c r="K99" s="11" t="str">
        <x:v>document_sha256_e1b41518d35b1284a3a07936b23f997653287b5b25426f6aca4cb04ac6eaa98e</x:v>
      </x:c>
      <x:c r="L99" s="11" t="str">
        <x:v>chunk_sha256_d23a0df67a37d463f0221e3e9bfbd4fd8a65bd4b2577478c7573239523ef6043</x:v>
      </x:c>
      <x:c r="M99" s="11" t="n">
        <x:v>19</x:v>
      </x:c>
      <x:c r="N99" s="11" t="n">
        <x:v>83</x:v>
      </x:c>
      <x:c r="O99" s="11" t="str">
        <x:v>https://df.nexon.com/community/news/monthlyitem</x:v>
      </x:c>
    </x:row>
  </x:sheetData>
  <x:conditionalFormatting sqref="C2:C99">
    <x:cfRule type="containsText" dxfId="4" priority="1" operator="containsText" text="unsupported"/>
  </x:conditionalFormatting>
  <x:pageMargins left="0.7" right="0.7" top="0.75" bottom="0.75" header="0.3" footer="0.3"/>
  <x:tableParts count="1">
    <x:tablePart xmlns:r="http://schemas.openxmlformats.org/officeDocument/2006/relationships" r:id="R32a9654140444a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</x:cols>
  <x:sheetData>
    <x:row r="1" ht="30" customHeight="1">
      <x:c r="A1" s="3" t="str">
        <x:v>검수 안내</x:v>
      </x:c>
      <x:c r="B1" s="3" t="str">
        <x:v>검수 안내</x:v>
      </x:c>
      <x:c r="C1" s="3" t="str">
        <x:v>검수 안내</x:v>
      </x:c>
      <x:c r="D1" s="3" t="str">
        <x:v>검수 안내</x:v>
      </x:c>
      <x:c r="E1" s="3" t="str">
        <x:v>검수 안내</x:v>
      </x:c>
      <x:c r="F1" s="3" t="str">
        <x:v>검수 안내</x:v>
      </x:c>
    </x:row>
    <x:row r="3" ht="28" customHeight="1">
      <x:c r="A3" s="8" t="str">
        <x:v>항목</x:v>
      </x:c>
      <x:c r="B3" s="8" t="str">
        <x:v>설명</x:v>
      </x:c>
    </x:row>
    <x:row r="4" ht="38" customHeight="1">
      <x:c r="A4" s="11" t="str">
        <x:v>목적</x:v>
      </x:c>
      <x:c r="B4" s="11" t="str">
        <x:v>새 Typed evidence-ref 기준선의 일반화 검증용 64문항 후보를 사람 검수</x:v>
      </x:c>
    </x:row>
    <x:row r="5" ht="38" customHeight="1">
      <x:c r="A5" s="11" t="str">
        <x:v>현재 상태</x:v>
      </x:c>
      <x:c r="B5" s="11" t="str">
        <x:v>64/64 draft_complete_pending_human_review</x:v>
      </x:c>
    </x:row>
    <x:row r="6" ht="38" customHeight="1">
      <x:c r="A6" s="11" t="str">
        <x:v>평가 가능 여부</x:v>
      </x:c>
      <x:c r="B6" s="11" t="str">
        <x:v>불가 — execution_allowed=false</x:v>
      </x:c>
    </x:row>
    <x:row r="7" ht="38" customHeight="1">
      <x:c r="A7" s="11" t="str">
        <x:v>Review 시트</x:v>
      </x:c>
      <x:c r="B7" s="11" t="str">
        <x:v>질문·요구·정답 값을 확인하고 M~P열에 판정/검수자/시각/근거를 기록</x:v>
      </x:c>
    </x:row>
    <x:row r="8" ht="38" customHeight="1">
      <x:c r="A8" s="11" t="str">
        <x:v>Evidence 시트</x:v>
      </x:c>
      <x:c r="B8" s="11" t="str">
        <x:v>요구별 exact source slice와 document/chunk 좌표 확인</x:v>
      </x:c>
    </x:row>
    <x:row r="9" ht="38" customHeight="1">
      <x:c r="A9" s="11" t="str">
        <x:v>승인</x:v>
      </x:c>
      <x:c r="B9" s="11" t="str">
        <x:v>내용 정답과 근거가 직접 연결되며 질문이 모호하지 않을 때 approved</x:v>
      </x:c>
    </x:row>
    <x:row r="10" ht="38" customHeight="1">
      <x:c r="A10" s="11" t="str">
        <x:v>Rewrite</x:v>
      </x:c>
      <x:c r="B10" s="11" t="str">
        <x:v>질문 또는 gold를 일반화 가능한 형태로 수정해야 할 때 rewrite</x:v>
      </x:c>
    </x:row>
    <x:row r="11" ht="38" customHeight="1">
      <x:c r="A11" s="11" t="str">
        <x:v>Rejected</x:v>
      </x:c>
      <x:c r="B11" s="11" t="str">
        <x:v>근거 부족·중복·시점 불명확 등으로 평가 문항에 부적합할 때 rejected</x:v>
      </x:c>
    </x:row>
    <x:row r="12" ht="38" customHeight="1">
      <x:c r="A12" s="11" t="str">
        <x:v>주의</x:v>
      </x:c>
      <x:c r="B12" s="11" t="str">
        <x:v>문항 작성 후 아직 검색·reranker·Qwen3·verifier를 실행하지 않음</x:v>
      </x:c>
    </x:row>
    <x:row r="13" ht="38" customHeight="1">
      <x:c r="A13" s="11" t="str">
        <x:v>다음 단계</x:v>
      </x:c>
      <x:c r="B13" s="11" t="str">
        <x:v>사람 검수 완료 → approved 60개 이상 확인 → freeze 및 SHA 기록 → 최초 A/B</x:v>
      </x:c>
    </x:row>
  </x:sheetData>
  <x:mergeCells>
    <x:mergeCell ref="A1:F1"/>
  </x:mergeCells>
  <x:pageMargins left="0.7" right="0.7" top="0.75" bottom="0.75" header="0.3" footer="0.3"/>
</x:worksheet>
</file>